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ciones" sheetId="1" r:id="rId1"/>
    <sheet name="Catálogo" sheetId="2" r:id="rId2"/>
    <sheet name="Trazabilidad" sheetId="3" r:id="rId3"/>
    <sheet name="Entidades" sheetId="4" r:id="rId4"/>
    <sheet name="Reglas" sheetId="5" r:id="rId5"/>
    <sheet name="Glosario" sheetId="6" r:id="rId6"/>
    <sheet name="Iteraciones" sheetId="7" r:id="rId7"/>
    <sheet name="Recursos" sheetId="8" r:id="rId8"/>
    <sheet name="Panel" sheetId="9" r:id="rId9"/>
  </sheets>
  <calcPr calcId="124519" fullCalcOnLoad="1"/>
</workbook>
</file>

<file path=xl/sharedStrings.xml><?xml version="1.0" encoding="utf-8"?>
<sst xmlns="http://schemas.openxmlformats.org/spreadsheetml/2006/main" count="647" uniqueCount="488">
  <si>
    <t>Libro de trabajo de la AE2 · Proyecto Final de Grado 2026</t>
  </si>
  <si>
    <t>Universidad de la Cuenca del Plata · Ingeniería en Sistemas de Información · Comisión A · Sede Posadas · Docente Titular: PosDr. Darío Ezequiel Díaz · ISI-PFG-2026C2-AE2-v02</t>
  </si>
  <si>
    <t>Autor: Thiago Martino Leal (DNI 45.775.785) · Proyecto: Sistema de Procesamiento de Transacciones orientado a Alojamientos transitorios por hora (Motel C.C.)</t>
  </si>
  <si>
    <t>Para qué sirve este libro</t>
  </si>
  <si>
    <t>Reúne, en un solo archivo versionable, los instrumentos de la Unidad Dos que producen el Capítulo III y alimentan los Capítulos V y X: el catálogo de requisitos, la matriz de trazabilidad, el filtro de entidades, el registro de reglas, el glosario, el plan de iteraciones y el dimensionamiento de recursos. La hoja «Panel» controla sola el estado de completitud y avisa qué falta.</t>
  </si>
  <si>
    <t>Dónde se guarda</t>
  </si>
  <si>
    <t>En el repositorio del equipo, carpeta /03-requisitos, con la nomenclatura de la cátedra: AAAAMMDD_CatalogoRequisitos_Equipo_vN.xlsx (archivo actual: 20261001_CatalogoRequisitos_ThiagoLeal_v2.xlsx). Se versiona cada vez que se cierra un bloque de filas, no una sola vez antes de la entrega.</t>
  </si>
  <si>
    <t>Qué celdas se completan</t>
  </si>
  <si>
    <t>Todas las celdas blancas y grises de cada hoja, a partir de la fila 5. Las filas sombreadas en ocre son ejemplos resueltos sobre el caso conductor «Santa Ana»: se leen, no se copian, y se borran antes de entregar. Las columnas de control, sombreadas en amarillo, contienen fórmulas: no se escriben.</t>
  </si>
  <si>
    <t>Cómo se usan las listas desplegables</t>
  </si>
  <si>
    <t>Las columnas de tipo, prioridad y estado admiten sólo los valores de la lista. Si un valor es rechazado, es porque la categoría no corresponde a la clasificación de la cátedra.</t>
  </si>
  <si>
    <t>Qué mira la corrección</t>
  </si>
  <si>
    <t>Que cada requisito tenga sus seis campos, que su criterio de aceptación sea un procedimiento ejecutable por un tercero, que la trazabilidad cierre en doble vía y que el conjunto de los requisitos «Must» coincida con el producto mínimo viable del apartado V.5.</t>
  </si>
  <si>
    <t>Orden de trabajo sugerido</t>
  </si>
  <si>
    <t>1) Entidades y Reglas, en el taller. 2) Trazabilidad, con los hallazgos de la AE1 codificados H-01, H-02… 3) Catálogo, derivando requisitos de esos hallazgos. 4) Sesión de validación con el referente y actualización de los estados. 5) Iteraciones y Recursos, ya con el catálogo cerrado.</t>
  </si>
  <si>
    <t>Advertencia</t>
  </si>
  <si>
    <t>Ante divergencia entre este libro y la Consigna ISI-PFG-2026C2-AE2-v02, prevalece la consigna. Ante divergencia entre la consigna y la Resolución Rectoral UCP N.º 97/23, prevalece la Resolución.</t>
  </si>
  <si>
    <t>Leyenda de colores</t>
  </si>
  <si>
    <t>Ocre</t>
  </si>
  <si>
    <t>Fila de ejemplo resuelta sobre el caso «Santa Ana». Se borra antes de entregar.</t>
  </si>
  <si>
    <t>Amarillo</t>
  </si>
  <si>
    <t>Celda con fórmula de control. No se escribe.</t>
  </si>
  <si>
    <t>Blanco y gris</t>
  </si>
  <si>
    <t>Celdas que completa el estudiante.</t>
  </si>
  <si>
    <t>Catálogo de requisitos · apartado III.5 del informe</t>
  </si>
  <si>
    <t>Una fila por requisito, con los seis campos completos. Regla de cómputo: un requisito sin criterio de aceptación comprobable no se computa, por bien redactado que esté.</t>
  </si>
  <si>
    <t>ID</t>
  </si>
  <si>
    <t>Enunciado</t>
  </si>
  <si>
    <t>Tipo</t>
  </si>
  <si>
    <t>Categoría (si es no funcional)</t>
  </si>
  <si>
    <t>Prioridad</t>
  </si>
  <si>
    <t>Motivo de la prioridad</t>
  </si>
  <si>
    <t>Criterio de aceptación (condición, acción, resultado con valores)</t>
  </si>
  <si>
    <t>Trazabilidad (H-xx o acta)</t>
  </si>
  <si>
    <t>Estado de validación</t>
  </si>
  <si>
    <t>Iteración prevista</t>
  </si>
  <si>
    <t>¿Integra el MVP?</t>
  </si>
  <si>
    <t>Control de completitud</t>
  </si>
  <si>
    <t>RF-01</t>
  </si>
  <si>
    <t>El sistema visualiza en una grilla interactiva el estado en tiempo real de las 13 habitaciones con codificación cromática.</t>
  </si>
  <si>
    <t>Funcional</t>
  </si>
  <si>
    <t>Must</t>
  </si>
  <si>
    <t>Sustituye el tablero de madera físico y constituye la interfaz central de conserjería con fricción cero.</t>
  </si>
  <si>
    <t>Condición inicial: Sesión activa como conserje. Acción: Cargar vista principal. Resultado: Se despliegan 13 tarjetas con estado cromático (Libre=verde, Ocupada=rojo, Limpieza=amarillo) en un tiempo &lt;= 500 ms.</t>
  </si>
  <si>
    <t>H-01 · observación en ventanilla</t>
  </si>
  <si>
    <t>Validado</t>
  </si>
  <si>
    <t>Sí</t>
  </si>
  <si>
    <t>RF-02</t>
  </si>
  <si>
    <t>El sistema registra el inicio de un turno asignando una habitación libre y fijando el timestamp de ingreso automático.</t>
  </si>
  <si>
    <t>Núcleo transaccional del servicio por hora; elimina la alteración manual de horarios en fichas de papel.</t>
  </si>
  <si>
    <t>Condición inicial: Habitación en estado Libre. Acción: Conserje ingresa código vehicular transitorio y confirma. Resultado: Turno pasa a En Curso, habitación a Ocupada y cronómetro inicia con timestamp del servidor.</t>
  </si>
  <si>
    <t>H-02 · fichas de papel manuscritas</t>
  </si>
  <si>
    <t>RF-03</t>
  </si>
  <si>
    <t>El sistema calcula el importe del turno aplicando la tarifa base y adicionando sobreturnos transcurridos según el algoritmo de fraccionamiento.</t>
  </si>
  <si>
    <t>Automatiza la liquidación financiera y elimina cobros y sumas manuales erróneas en ventanilla.</t>
  </si>
  <si>
    <t>Condición inicial: Turno activo excede los 120 minutos base. Acción: Presionar liquidar turno. Resultado: El sistema aplica tarifa base ($8.000) más recargo proporcional por fracción de 30 min ($2.500 c/u) según RN-DER-01 con 0% de error de cálculo.</t>
  </si>
  <si>
    <t>H-03 · demoras y sumas manuales</t>
  </si>
  <si>
    <t>RF-04</t>
  </si>
  <si>
    <t>El sistema registra el despacho de consumiciones de minibar vinculándolas al turno y descontando el stock de forma atómica.</t>
  </si>
  <si>
    <t>Controla el inventario de bebidas/golosinas y evita pérdidas de productos entregados a habitaciones.</t>
  </si>
  <si>
    <t>Condición inicial: Turno en curso y artículo con stock &gt;= 1. Acción: Seleccionar artículo y cantidad, confirmar despacho. Resultado: Se inserta Detalle_Consumo, se adiciona el subtotal a la cuenta del turno y se descuenta el stock en la misma transacción ACID.</t>
  </si>
  <si>
    <t>H-04 · faltantes de stock en cuadernos</t>
  </si>
  <si>
    <t>RF-05</t>
  </si>
  <si>
    <t>El sistema bloquea el despacho de artículos de minibar cuando la cantidad solicitada excede el stock disponible.</t>
  </si>
  <si>
    <t>Aplica la regla RN-EXI-02 evitando registros ficticios y descalces de inventario en almacén.</t>
  </si>
  <si>
    <t>Condición inicial: Artículo con stock = 0 en sistema. Acción: Intentar despachar el producto a una habitación. Resultado: La interfaz bloquea la confirmación con mensaje «Stock insuficiente» y no genera registros en base de datos.</t>
  </si>
  <si>
    <t>H-05 · desajustes y mermas al arqueo</t>
  </si>
  <si>
    <t>RF-06</t>
  </si>
  <si>
    <t>El sistema registra cobros discriminando importes en efectivo físico y transferencias electrónicas respaldadas por cupón POSNET.</t>
  </si>
  <si>
    <t>Permite conciliar pagos mixtos y auditar cupones digitales frente a la recaudación física.</t>
  </si>
  <si>
    <t>Condición inicial: Turno en etapa de liquidación. Acción: Asentar desglose de efectivo y número de cupón POSNET. Resultado: Se crean los registros en tabla Pago, el saldo pendiente de la habitación pasa a $0 y se emite constancia de cobro.</t>
  </si>
  <si>
    <t>H-06 · descalce de efectivo y MP</t>
  </si>
  <si>
    <t>RF-07</t>
  </si>
  <si>
    <t>El sistema impide la transición de la habitación a estado En Limpieza si el turno registra saldo monetario pendiente.</t>
  </si>
  <si>
    <t>Aplica la regla RN-EXI-03 erradicando la fuga operativa de turnos liberados sin haber cobrado.</t>
  </si>
  <si>
    <t>Condición inicial: Turno liquidado con saldo adeudado &gt; $0. Acción: Conserje presiona botón liberar a limpieza. Resultado: Sistema rechaza la operación, mantiene habitación en Ocupada y resalta advertencia visual de deuda pendiente.</t>
  </si>
  <si>
    <t>H-07 · fuga de turnos impagos</t>
  </si>
  <si>
    <t>RF-08</t>
  </si>
  <si>
    <t>El sistema procesa el Cierre de Caja Ciego de 8 horas sin exhibir los totales calculados por el sistema antes del arqueo.</t>
  </si>
  <si>
    <t>Eslabón crítico contra la Tasa de Discrepancia de Caja (TDC) del 10%; anula el ajuste manual de billetes.</t>
  </si>
  <si>
    <t>Condición inicial: Culminación de guardia de 8 horas. Acción: Operador saliente ingresa recuento físico de efectivo y cupones a ciegas. Resultado: Sesión persiste en log inmutable, calcula desvío y bloquea la interfaz de la guardia finalizada.</t>
  </si>
  <si>
    <t>H-08 · demora de 17 min y ajuste manual</t>
  </si>
  <si>
    <t>RF-09</t>
  </si>
  <si>
    <t>El sistema calcula y categoriza la discrepancia de caja comparando valores declarados frente a transacciones registradas.</t>
  </si>
  <si>
    <t>Métrica objetiva de control financiero exigida por gerencia para evaluar la responsabilidad de cada conserje.</t>
  </si>
  <si>
    <t>Condición inicial: Arqueo ciego confirmado. Acción: Sistema ejecuta RN-DER-03. Resultado: Se persiste la diferencia monetaria exacta (Declarado - Sistema) y se clasifica como Correcto ($0), Faltante (&lt;$0) o Sobrante (&gt;$0).</t>
  </si>
  <si>
    <t>H-09 · TDC histórica del 10% semanal</t>
  </si>
  <si>
    <t>RF-10</t>
  </si>
  <si>
    <t>El sistema genera un comprobante de arqueo de caja en formato PDF consolidando el detalle de la guardia.</t>
  </si>
  <si>
    <t>Should</t>
  </si>
  <si>
    <t>Proporciona respaldo físico impreso para rendición contable y sobre de resguardo gerencial.</t>
  </si>
  <si>
    <t>Condición inicial: Arqueo inmutable cerrado. Acción: Hacer clic en botón Exportar PDF. Resultado: Se genera y descarga documento PDF estructurado con resumen de turnos, medios de pago y desvíos en &lt; 2 segundos.</t>
  </si>
  <si>
    <t>H-10 · extravío de planillas manuscritas</t>
  </si>
  <si>
    <t>No</t>
  </si>
  <si>
    <t>RF-11</t>
  </si>
  <si>
    <t>El sistema permite al administrador modificar tarifas horarias y precios de venta de artículos de minibar.</t>
  </si>
  <si>
    <t>Permite actualizar precios ante inflación sin tocar el código fuente; turnos pasados conservan tarifa histórica.</t>
  </si>
  <si>
    <t>Condición inicial: Sesión con rol admin. Acción: Actualizar valor de tarifa o artículo en panel de gestión. Resultado: Los nuevos valores rigen para turnos futuros, preservando inalterados los registros históricos liquidados.</t>
  </si>
  <si>
    <t>H-11 · complejidad de carteleras</t>
  </si>
  <si>
    <t>RF-12</t>
  </si>
  <si>
    <t>El sistema emite una alerta visual en el panel cuando una habitación permanece en estado En Limpieza por más de 30 minutos.</t>
  </si>
  <si>
    <t>Could</t>
  </si>
  <si>
    <t>Reduce tiempos muertos operativos de maestranza e incrementa el índice de rotación de habitaciones.</t>
  </si>
  <si>
    <t>Condición inicial: Habitación en limpieza supera 30 minutos. Acción: Refresco periódico de grilla. Resultado: Tarjeta de habitación parpadea con borde amarillo y muestra etiqueta «Demora en limpieza».</t>
  </si>
  <si>
    <t>H-12 · tiempos muertos de limpieza</t>
  </si>
  <si>
    <t>RF-13</t>
  </si>
  <si>
    <t>El sistema emite notificaciones sonoras en el navegador ante advertencias operacionales de conserjería.</t>
  </si>
  <si>
    <t>Won't</t>
  </si>
  <si>
    <t>Descartado expresamente para el PMV; genera sobrecarga acústica y distracción en el puesto de ventanilla.</t>
  </si>
  <si>
    <t>Condición inicial: Evento de alerta generado. Acción: Procesamiento en cliente. Resultado: La alerta se visualiza únicamente en forma gráfica sin emitir señales auditivas por los parlantes.</t>
  </si>
  <si>
    <t>Límite · Acta de validación 23/09</t>
  </si>
  <si>
    <t>RNF-01</t>
  </si>
  <si>
    <t>La persistencia de turnos liquidados y arqueos de caja opera bajo un esquema relacional inmutable (Append-Only Log).</t>
  </si>
  <si>
    <t>No funcional</t>
  </si>
  <si>
    <t>Fiabilidad y Seguridad</t>
  </si>
  <si>
    <t>Pilar arquitectónico del sistema: impide la adulteración de turnos cobrados y elimina el fraude en caja.</t>
  </si>
  <si>
    <t>Condición inicial: Turno o arqueo en estado FINALIZADO en PostgreSQL. Acción: Ejecutar sentencias UPDATE o DELETE sobre la fila. Resultado: Motor rechaza la operación arrojando excepción de trigger inmutable y mantiene datos originales.</t>
  </si>
  <si>
    <t>H-08, H-09 · actas de auditoría</t>
  </si>
  <si>
    <t>RNF-02</t>
  </si>
  <si>
    <t>El tiempo de respuesta del backend para procesar el inicio o cobro de un turno es menor o igual a 800 ms.</t>
  </si>
  <si>
    <t>Rendimiento</t>
  </si>
  <si>
    <t>Garantiza fluidez en ventanilla impidiendo demoras y colas vehiculares en el portón de acceso.</t>
  </si>
  <si>
    <t>Condición inicial: Carga de prueba de 5 peticiones concurrentes a la API FastAPI. Acción: Medir tiempo de respuesta. Resultado: Percentil 95 (P95) confirma respuesta procesada en &lt;= 800 ms.</t>
  </si>
  <si>
    <t>H-01 · demora de 17 min en ventanilla</t>
  </si>
  <si>
    <t>RNF-03</t>
  </si>
  <si>
    <t>El sistema excluye el almacenamiento de datos filiatorios de clientes (nombre, DNI, teléfono) en la totalidad de sus tablas.</t>
  </si>
  <si>
    <t>Cumplimiento Normativo</t>
  </si>
  <si>
    <t>Mandato legal ineludible de la Ley 25.326 de Protección de Datos Personales y política de privacidad del negocio.</t>
  </si>
  <si>
    <t>Condición inicial: Esquema de base de datos desplegado en PostgreSQL 16. Acción: Inspeccionar catálogo de columnas del schema. Resultado: Inexistencia total de campos filiatorios personales en todas las tablas del sistema.</t>
  </si>
  <si>
    <t>H-13 · confidencialidad e intimidad</t>
  </si>
  <si>
    <t>RNF-04</t>
  </si>
  <si>
    <t>La autenticación de operadores emplea tokens JWT alojados exclusivamente en cookies con atributo httpOnly.</t>
  </si>
  <si>
    <t>Seguridad</t>
  </si>
  <si>
    <t>Previene la sustracción de credenciales de conserjes mediante ataques de Cross-Site Scripting (XSS).</t>
  </si>
  <si>
    <t>Condición inicial: Sesión de operador activa en navegador web. Acción: Ejecutar document.cookie en consola JavaScript. Resultado: La instrucción no devuelve el token JWT por estar confinado en cookie httpOnly del servidor.</t>
  </si>
  <si>
    <t>H-14 · compartición de sesiones</t>
  </si>
  <si>
    <t>RNF-05</t>
  </si>
  <si>
    <t>La interfaz gráfica en React está optimizada ergonómicamente para una resolución de pantalla de 1366x768 píxeles.</t>
  </si>
  <si>
    <t>Usabilidad</t>
  </si>
  <si>
    <t>Adaptabilidad operativa a la terminal física existente en ventanilla de recepción sin requerir nuevo hardware.</t>
  </si>
  <si>
    <t>Condición inicial: Navegador en pantalla a 1366x768 px. Acción: Inspeccionar layout y componentes del panel. Resultado: Cero barras de scroll horizontal y áreas de clic/toque de botones con tamaño mínimo de 44x44 px.</t>
  </si>
  <si>
    <t>H-15 · PC de ventanilla existente</t>
  </si>
  <si>
    <t>RNF-06</t>
  </si>
  <si>
    <t>El sistema garantiza una disponibilidad mensual del servicio superior o igual al 99,5% en régimen 24/7.</t>
  </si>
  <si>
    <t>Fiabilidad</t>
  </si>
  <si>
    <t>Asegura soporte transaccional ininterrumpido en turnos rotativos nocturnos y fines de semana.</t>
  </si>
  <si>
    <t>Condición inicial: Monitoreo con sondas de uptime durante 30 días continuos. Acción: Computar tiempo fuera de servicio. Resultado: Tiempo total de indisponibilidad no programada resulta &lt;= 3,6 horas mensuales.</t>
  </si>
  <si>
    <t>H-16 · riesgo de parálisis del sistema</t>
  </si>
  <si>
    <t>RNF-07</t>
  </si>
  <si>
    <t>El código fuente mantiene una cobertura de pruebas unitarias mayor o igual al 70% en módulos de liquidación y caja.</t>
  </si>
  <si>
    <t>Mantenibilidad</t>
  </si>
  <si>
    <t>Garantiza solidez algorítmica y previene regresiones numéricas ante modificaciones de tarifas o lógica.</t>
  </si>
  <si>
    <t>Condición inicial: Ejecución de pytest en canal de CI de GitHub Actions. Acción: Medir cobertura con coverage.py. Resultado: Reporte certifica cobertura de código &gt;= 70% en funciones de liquidación y cálculo de caja.</t>
  </si>
  <si>
    <t>H-17 · fallos algorítmicos no previstos</t>
  </si>
  <si>
    <t>Matriz de trazabilidad · hallazgo de la AE1 → requisito</t>
  </si>
  <si>
    <t>Se verifica en doble vía. Todo requisito llega a un hallazgo; todo hallazgo llega a un requisito o a una justificación expresa de por qué no derivó ninguno.</t>
  </si>
  <si>
    <t>Código (H-01, H-02…)</t>
  </si>
  <si>
    <t>Hallazgo de la AE1 (dato y valor)</t>
  </si>
  <si>
    <t>Fuente (apartado del Cap. II o acta)</t>
  </si>
  <si>
    <t>Requisito(s) derivado(s)</t>
  </si>
  <si>
    <t>Si no deriva: justificación</t>
  </si>
  <si>
    <t>Control de la doble vía</t>
  </si>
  <si>
    <t>H-01</t>
  </si>
  <si>
    <t>Tablero físico de madera propenso a desactualización operativa y demora en el acceso (TPA de 17 min).</t>
  </si>
  <si>
    <t>Cap. II, ap. II.3 · relevamiento de ventanilla</t>
  </si>
  <si>
    <t>RF-01, RNF-02</t>
  </si>
  <si>
    <t>H-02</t>
  </si>
  <si>
    <t>Anotaciones en fichas de papel de 10x10 cm con horarios de ingreso alterados o estimados a mano.</t>
  </si>
  <si>
    <t>Cap. II, ap. II.3 · archivo de fichas diarias</t>
  </si>
  <si>
    <t>H-03</t>
  </si>
  <si>
    <t>Sumas manuales deficientes y demoras en el cálculo de fracciones horarias de sobreturno.</t>
  </si>
  <si>
    <t>Cap. II, ap. II.3 · planilla de liquidación</t>
  </si>
  <si>
    <t>H-04</t>
  </si>
  <si>
    <t>Faltantes de stock de bebidas y golosinas no declarados en los cuadernos de turnos.</t>
  </si>
  <si>
    <t>Cap. II, ap. II.4 · arqueo de minibar</t>
  </si>
  <si>
    <t>H-05</t>
  </si>
  <si>
    <t>Mermas de inventario y desajustes de stock no identificados hasta el arqueo semanal.</t>
  </si>
  <si>
    <t>Cap. II, ap. II.4 · registro de stock</t>
  </si>
  <si>
    <t>H-06</t>
  </si>
  <si>
    <t>Descalce financiero en caja derivado de la mezcla informal de cupones de Mercado Pago y efectivo.</t>
  </si>
  <si>
    <t>Cap. II, ap. II.3 · conciliación de caja</t>
  </si>
  <si>
    <t>H-07</t>
  </si>
  <si>
    <t>Fuga operativa de turnos sin cobrar detectada en las revisiones gerenciales de cuadernos.</t>
  </si>
  <si>
    <t>Cap. II, ap. II.3 · auditoría de cuadernos</t>
  </si>
  <si>
    <t>H-08</t>
  </si>
  <si>
    <t>Arqueo manual con demora de 17 minutos y ajuste arbitrario de billetes para forzar coincidencias.</t>
  </si>
  <si>
    <t>Cap. II, ap. II.3 · observación de recambio</t>
  </si>
  <si>
    <t>RF-08, RNF-01</t>
  </si>
  <si>
    <t>H-09</t>
  </si>
  <si>
    <t>Tasa de Discrepancia de Caja (TDC) histórica del 10% semanal en la rendición de sobres.</t>
  </si>
  <si>
    <t>Cap. II, ap. II.3 · registro de sobres de rendición</t>
  </si>
  <si>
    <t>RF-09, RNF-01</t>
  </si>
  <si>
    <t>H-10</t>
  </si>
  <si>
    <t>Pérdida y deterioro de hojas sueltas y planillas manuscritas de rendición de guardia.</t>
  </si>
  <si>
    <t>Cap. II, ap. II.4 · archivo de rendiciones</t>
  </si>
  <si>
    <t>H-11</t>
  </si>
  <si>
    <t>Complejidad para actualizar listas de precios fijadas en carteleras de conserjería.</t>
  </si>
  <si>
    <t>Cap. II, ap. II.4 · carteleras de precios</t>
  </si>
  <si>
    <t>H-12</t>
  </si>
  <si>
    <t>Tiempos muertos de higienización no cuantificados que reducen la rotación de habitaciones.</t>
  </si>
  <si>
    <t>Cap. II, ap. II.3 · relevamiento de maestranza</t>
  </si>
  <si>
    <t>H-13</t>
  </si>
  <si>
    <t>Exigencia legal y comercial de estricta confidencialidad e intimidad de los huéspedes.</t>
  </si>
  <si>
    <t>Cap. II, ap. II.2 · marco regulatorio (Ley 25.326)</t>
  </si>
  <si>
    <t>H-14</t>
  </si>
  <si>
    <t>Compartición indebida de sesiones de trabajo entre conserjes de turnos rotativos.</t>
  </si>
  <si>
    <t>Cap. II, ap. II.3 · protocolo de acceso</t>
  </si>
  <si>
    <t>H-15</t>
  </si>
  <si>
    <t>Espacio físico reducido y PC modesta con monitor 1366x768 px en ventanilla de recepción.</t>
  </si>
  <si>
    <t>Cap. II, ap. II.4 · inventario de equipamiento</t>
  </si>
  <si>
    <t>H-16</t>
  </si>
  <si>
    <t>Riesgo de parálisis transaccional ante cortes de conectividad o caídas de servidor.</t>
  </si>
  <si>
    <t>Cap. II, ap. II.4 · diagnóstico de infraestructura</t>
  </si>
  <si>
    <t>H-17</t>
  </si>
  <si>
    <t>Fallos de software y discrepancias algorítmicas no detectadas oportunamente en liquidación.</t>
  </si>
  <si>
    <t>Cap. II, ap. II.4 · relevamiento técnico</t>
  </si>
  <si>
    <t>H-EX-01</t>
  </si>
  <si>
    <t>Demanda gerencial de facturación fiscal electrónica web directa ante ARCA.</t>
  </si>
  <si>
    <t>Cap. II, ap. II.5 · entrevista con propietario</t>
  </si>
  <si>
    <t>Excluido del PMV. Se emite ticket por controlador fiscal físico independiente sin desviar esfuerzo del núcleo de caja.</t>
  </si>
  <si>
    <t>H-EX-02</t>
  </si>
  <si>
    <t>Deseo de corte automatizado de energía en habitaciones mediante domótica IoT con relés.</t>
  </si>
  <si>
    <t>Cap. II, ap. II.5 · propuesta técnica de mantenimiento</t>
  </si>
  <si>
    <t>Excluido del PMV por sobrecostos de cableado estructurado, microcontroladores y relés en 13 habitaciones.</t>
  </si>
  <si>
    <t>Lista filtrada de entidades del dominio · Instrumento 28</t>
  </si>
  <si>
    <t>Cada candidata pasa por el filtro de las tres preguntas. Las descartadas no se borran: se reclasifican.</t>
  </si>
  <si>
    <t>Candidata (sustantivo de la organización)</t>
  </si>
  <si>
    <t>¿Identidad propia?</t>
  </si>
  <si>
    <t>¿Datos y reglas propios?</t>
  </si>
  <si>
    <t>¿Dentro del recorte?</t>
  </si>
  <si>
    <t>Veredicto</t>
  </si>
  <si>
    <t>Fuente que la acredita</t>
  </si>
  <si>
    <t>Relaciones principales</t>
  </si>
  <si>
    <t>Habitación</t>
  </si>
  <si>
    <t>Entidad</t>
  </si>
  <si>
    <t>Tablero de madera de conserjería (foto 19/08)</t>
  </si>
  <si>
    <t>Una habitación agrupa muchos turnos cronológicos; solo 1 turno activo en un instante.</t>
  </si>
  <si>
    <t>Turno</t>
  </si>
  <si>
    <t>Fichas de papel de 10x10 cm y cuaderno de turnos</t>
  </si>
  <si>
    <t>Pertenece a 1 habitación; se rige por 1 tarifa; incluye detalles de consumo y pagos.</t>
  </si>
  <si>
    <t>Tarifa</t>
  </si>
  <si>
    <t>Cartelera física de precios de conserjería</t>
  </si>
  <si>
    <t>Una tarifa rige sobre múltiples turnos según el esquema horario acordado al inicio.</t>
  </si>
  <si>
    <t>Artículo</t>
  </si>
  <si>
    <t>Planilla de inventario de minibar</t>
  </si>
  <si>
    <t>Agrupa stock y puede asociarse a múltiples detalles de consumo de turnos.</t>
  </si>
  <si>
    <t>Detalle_Consumo</t>
  </si>
  <si>
    <t>Anotaciones de consumiciones en ficha diaria</t>
  </si>
  <si>
    <t>Pertenece a 1 turno activo; referencia a 1 artículo decrementando inventario atómicamente.</t>
  </si>
  <si>
    <t>Arqueo_Caja</t>
  </si>
  <si>
    <t>Sobres de rendición física por guardia de 8 h</t>
  </si>
  <si>
    <t>Agrupa turnos y pagos de la guardia de 8 h; registra discrepancia inmutable.</t>
  </si>
  <si>
    <t>Pago</t>
  </si>
  <si>
    <t>Cupones de POSNET y fajos de billetes de caja</t>
  </si>
  <si>
    <t>Pertenece a 1 turno liquidado; un turno admite múltiples pagos mixtos.</t>
  </si>
  <si>
    <t>Cliente</t>
  </si>
  <si>
    <t>Descartada / Entorno</t>
  </si>
  <si>
    <t>Entrevista con asesor legal y Ley 25.326</t>
  </si>
  <si>
    <t>Padecido por el sistema. Prohibido registrar datos filiatorios; transitorio.</t>
  </si>
  <si>
    <t>Patente</t>
  </si>
  <si>
    <t>Atributo de Turno</t>
  </si>
  <si>
    <t>Cuaderno de guardia (columna Patente)</t>
  </si>
  <si>
    <t>Identificador transitorio cargado dentro de Turno; no tiene reglas autónomas.</t>
  </si>
  <si>
    <t>Ficha de Papel</t>
  </si>
  <si>
    <t>Sustituto Físico</t>
  </si>
  <si>
    <t>Fichas de papel impresas de 10x10 cm</t>
  </si>
  <si>
    <t>Artefacto manual preexistente absorbido funcionalmente por la entidad Turno.</t>
  </si>
  <si>
    <t>Diferencia de Caja</t>
  </si>
  <si>
    <t>Dato Derivado</t>
  </si>
  <si>
    <t>Sobres manuscritos de rendición</t>
  </si>
  <si>
    <t>Atributo numérico calculado (Total Declarado - Total Transaccional) en Arqueo_Caja.</t>
  </si>
  <si>
    <t>Registro de reglas de negocio · Instrumento 29</t>
  </si>
  <si>
    <t>Regla y requisito derivado deben citar la misma fuente: esa coincidencia es la trazabilidad que la dimensión 1 de la rúbrica verifica.</t>
  </si>
  <si>
    <t>Código</t>
  </si>
  <si>
    <t>Enunciado verificable</t>
  </si>
  <si>
    <t>Fuente</t>
  </si>
  <si>
    <t>Estado</t>
  </si>
  <si>
    <t>Requisito derivado (ID)</t>
  </si>
  <si>
    <t>RN-RES-01</t>
  </si>
  <si>
    <t>Restricción</t>
  </si>
  <si>
    <t>Un turno cuyo estado haya transicionado a FINALIZADO no admite incorporación de nuevos consumos, reasignación de habitación ni modificación de importes (Append-Only Log).</t>
  </si>
  <si>
    <t>Auditoría gerencial y práctica de ventanilla</t>
  </si>
  <si>
    <t>Validada</t>
  </si>
  <si>
    <t>RF-02, RNF-01</t>
  </si>
  <si>
    <t>RN-RES-02</t>
  </si>
  <si>
    <t>Una vez confirmado el cierre de caja por el conserje, el registro de arqueo se bloquea contra escritura en PostgreSQL, prohibiendo UPDATE y DELETE.</t>
  </si>
  <si>
    <t>Protocolo financiero y control de sobres</t>
  </si>
  <si>
    <t>RN-RES-03</t>
  </si>
  <si>
    <t>La interfaz de recambio de guardia prohíbe terminantemente mostrar al conserje el total teórico acumulado antes de asentar el recuento físico de billetes y cupones.</t>
  </si>
  <si>
    <t>Protocolo de Cierre Ciego contra TDC</t>
  </si>
  <si>
    <t>RN-DER-01</t>
  </si>
  <si>
    <t>Derivación</t>
  </si>
  <si>
    <t>Si la estadía excede los 120 minutos base, se calcula automáticamente el sobreturno adicionando la tarifa proporcional por cada fracción de 30 minutos excedentes.</t>
  </si>
  <si>
    <t>Tarifario físico de conserjería</t>
  </si>
  <si>
    <t>RN-DER-02</t>
  </si>
  <si>
    <t>El monto total adeudado por el turno resulta de la suma aritmética del importe final del alojamiento derivado por RN-DER-01 más la sumatoria de subtotales de Detalle_Consumo.</t>
  </si>
  <si>
    <t>Planilla de liquidación de ventanilla</t>
  </si>
  <si>
    <t>RF-03, RF-04</t>
  </si>
  <si>
    <t>RN-DER-03</t>
  </si>
  <si>
    <t>Discrepancia = Monto Declarado (Efectivo + Cupones) - Total Transaccional del Sistema. Si difiere de cero, se cataloga como Faltante o Sobrante.</t>
  </si>
  <si>
    <t>Control semanal de sobres de rendición</t>
  </si>
  <si>
    <t>RN-EXI-01</t>
  </si>
  <si>
    <t>Existencia</t>
  </si>
  <si>
    <t>Solo se admite la apertura de un turno si la habitación seleccionada se encuentra explícitamente en estado Libre en el tablero.</t>
  </si>
  <si>
    <t>Práctica operativa del tablero de recepción</t>
  </si>
  <si>
    <t>RF-01, RF-02</t>
  </si>
  <si>
    <t>RN-EXI-02</t>
  </si>
  <si>
    <t>Una línea de consumo solo puede persistirse si el stock del artículo es mayor o igual a la cantidad solicitada, decrementando el inventario atómicamente.</t>
  </si>
  <si>
    <t>Protocolo de custodia de minibar</t>
  </si>
  <si>
    <t>RF-04, RF-05</t>
  </si>
  <si>
    <t>RN-EXI-03</t>
  </si>
  <si>
    <t>Una habitación solo transiciona a «En Limpieza» si el turno asociado pasa a FINALIZADO y el saldo pendiente es exactamente $0.</t>
  </si>
  <si>
    <t>Rutina operativa de maestranza</t>
  </si>
  <si>
    <t>RF-06, RF-07</t>
  </si>
  <si>
    <t>Glosario del dominio · Instrumento 30</t>
  </si>
  <si>
    <t>Vocabulario normativo del informe completo y de las tablas del sistema. La entrada más valiosa es la del término en disputa.</t>
  </si>
  <si>
    <t>Término (como lo usa la organización)</t>
  </si>
  <si>
    <t>Definición operativa (una o dos oraciones)</t>
  </si>
  <si>
    <t>Sinónimos y falsos amigos detectados</t>
  </si>
  <si>
    <t>Fuente (quién lo usa así)</t>
  </si>
  <si>
    <t>¿En disputa?</t>
  </si>
  <si>
    <t>Turno (de Alojamiento)</t>
  </si>
  <si>
    <t>Instancia transaccional de ocupación de una habitación por un período fraccionado de 2 horas base más sobreturnos.</t>
  </si>
  <si>
    <t>Falso amigo: «Turno de Guardia» (jornada laboral de 8 horas del conserje). El personal confunde ambos conceptos.</t>
  </si>
  <si>
    <t>Conserjes y encargado de recepción</t>
  </si>
  <si>
    <t>Sobreturno</t>
  </si>
  <si>
    <t>Fracción de tiempo que excede los 120 minutos de estadía base, tarifada en bloques proporcionales de 30 minutos.</t>
  </si>
  <si>
    <t>Sinónimo en cartelera: «Fraccionamiento horario» o «adicional».</t>
  </si>
  <si>
    <t>Cartelera y conserjería</t>
  </si>
  <si>
    <t>Cierre Ciego</t>
  </si>
  <si>
    <t>Protocolo de rendición donde el operador asienta el efectivo contado y cupones sin conocer el total calculado por el software.</t>
  </si>
  <si>
    <t>Sinónimo: «Arqueo a ciegas» o «cierre mudo».</t>
  </si>
  <si>
    <t>Gerencia general y conserjes</t>
  </si>
  <si>
    <t>Recambio de Guardia</t>
  </si>
  <si>
    <t>Momento en que culmina la jornada laboral de 8 horas y se realiza el traspaso de llaves y rendición física de caja en sobre.</t>
  </si>
  <si>
    <t>Sinónimo: «Cambio de turno». Falso amigo: no confundir con fin de turno de una habitación.</t>
  </si>
  <si>
    <t>Conserjes de los tres turnos rotativos</t>
  </si>
  <si>
    <t>Minibar</t>
  </si>
  <si>
    <t>Stock de bebidas, golosinas y artículos sanitarios custodiados en conserjería para despacho a pedido a las habitaciones.</t>
  </si>
  <si>
    <t>Falso amigo: «Heladera de habitación». En el motel no hay heladeras individuales en las habitaciones.</t>
  </si>
  <si>
    <t>Conserjes y personal de maestranza</t>
  </si>
  <si>
    <t>Habitación Libre</t>
  </si>
  <si>
    <t>Estado de una habitación higienizada, desinfectada e inspeccionada, lista para recibir un nuevo ingreso vehicular.</t>
  </si>
  <si>
    <t>Sinónimo: «Habitación disponible» o «limpia».</t>
  </si>
  <si>
    <t>Conserjería y maestranza</t>
  </si>
  <si>
    <t>TDC (Tasa de Discrepancia)</t>
  </si>
  <si>
    <t>Métrica porcentual que mide la diferencia monetaria absoluta entre el efectivo/cupones rendidos en sobre y el valor transaccionado.</t>
  </si>
  <si>
    <t>Sinónimo: «Descuadre de caja» o «faltante/sobrante».</t>
  </si>
  <si>
    <t>Gerencia de administración</t>
  </si>
  <si>
    <t>Plan de iteraciones y presupuesto de horas · Capítulo V</t>
  </si>
  <si>
    <t>El cronograma se construye sobre el presupuesto efectivo de horas-persona y se alinea con la cadencia de artefactos.</t>
  </si>
  <si>
    <t>Iteración</t>
  </si>
  <si>
    <t>Desde</t>
  </si>
  <si>
    <t>Hasta</t>
  </si>
  <si>
    <t>Objetivo verificable</t>
  </si>
  <si>
    <t>Requisitos comprometidos (ID)</t>
  </si>
  <si>
    <t>Entregable de cierre</t>
  </si>
  <si>
    <t>Horas asignadas</t>
  </si>
  <si>
    <t>13/08/2026</t>
  </si>
  <si>
    <t>03/09/2026</t>
  </si>
  <si>
    <t>Relevar la organización, formalizar línea de base (TPA 17 min, TDC 10%) y validar encuadre.</t>
  </si>
  <si>
    <t>H-01 al H-17</t>
  </si>
  <si>
    <t>Prototipo v0: Maqueta en Figma e Instrumentos 1 al 22.</t>
  </si>
  <si>
    <t>07/09/2026</t>
  </si>
  <si>
    <t>01/10/2026</t>
  </si>
  <si>
    <t>Delimitar dominio, formalizar catálogo de 20 requisitos, diseñar arquitectura y construir Walking Skeleton con CI.</t>
  </si>
  <si>
    <t>RF-01 al RF-09, RNF-01 al RNF-05 (14 Must)</t>
  </si>
  <si>
    <t>Prototipo v1: Esqueleto ejecutable con CI activo y PostgreSQL inmutable.</t>
  </si>
  <si>
    <t>05/10/2026</t>
  </si>
  <si>
    <t>29/10/2026</t>
  </si>
  <si>
    <t>Implementar núcleo transaccional completo: minibar, sobreturnos, alertas y comprobante PDF.</t>
  </si>
  <si>
    <t>RF-10, RF-11, RF-12, RNF-06, RNF-07</t>
  </si>
  <si>
    <t>Prototipo v2: Primer incremento funcional integrado con persistencia y pruebas.</t>
  </si>
  <si>
    <t>02/11/2026</t>
  </si>
  <si>
    <t>26/11/2026</t>
  </si>
  <si>
    <t>Implementar Cierre de Caja Ciego, cálculo de discrepancias, bitácora final inmutable y despliegue final.</t>
  </si>
  <si>
    <t>RF-13 (Won't), Estabilización global de los 20 requisitos</t>
  </si>
  <si>
    <t>Prototipo v3: Versión funcional congelada demostrable en vivo ante tribunal.</t>
  </si>
  <si>
    <t>Presupuesto de horas-persona</t>
  </si>
  <si>
    <t>Integrantes del equipo</t>
  </si>
  <si>
    <t>Thiago Martino Leal (Autor individual)</t>
  </si>
  <si>
    <t>Horas semanales reales por integrante (declaradas, no deseadas)</t>
  </si>
  <si>
    <t>Dedicación neta declarada</t>
  </si>
  <si>
    <t>Semanas del período</t>
  </si>
  <si>
    <t>Semanas lectivas del cuatrimestre</t>
  </si>
  <si>
    <t>Presupuesto total</t>
  </si>
  <si>
    <t>192 horas brutas</t>
  </si>
  <si>
    <t>Reducción prevista por exámenes y feriados (horas)</t>
  </si>
  <si>
    <t>Ya deducidas en las 12 h reales</t>
  </si>
  <si>
    <t>Presupuesto efectivo resultante</t>
  </si>
  <si>
    <t>192 horas-persona netas</t>
  </si>
  <si>
    <t>Horas ya asignadas a iteraciones</t>
  </si>
  <si>
    <t>Suma de horas asignadas</t>
  </si>
  <si>
    <t>Margen disponible</t>
  </si>
  <si>
    <t>0 horas (calce exacto)</t>
  </si>
  <si>
    <t>Cláusula de contingencia (exigencia vii de la consigna)</t>
  </si>
  <si>
    <t>Si el presupuesto de horas cae un tercio, se posterga</t>
  </si>
  <si>
    <t>Se posterga la exportación de comprobantes en PDF (RF-10) y la administración dinámica de tarifas por interfaz (RF-11), concentrando el esfuerzo en el núcleo transaccional de caja ciega.</t>
  </si>
  <si>
    <t>Criterio de redistribución, según el acta de constitución</t>
  </si>
  <si>
    <t>Al ser autoría individual (Thiago Leal), la totalidad del esfuerzo se reasigna a backend inmutable y consola de ventanilla, absorbiendo horas de QA automatizado mediante pruebas exploratorias manuales.</t>
  </si>
  <si>
    <t>Qué no se sacrifica en ningún caso</t>
  </si>
  <si>
    <t>La trazabilidad del catálogo y la ejecutabilidad del prototipo v1: son condiciones de cómputo.</t>
  </si>
  <si>
    <t>Dimensionamiento de recursos · Capítulo X</t>
  </si>
  <si>
    <t>Cada asignación con su justificación y su fuente. Toda cifra de costo responde las tres preguntas.</t>
  </si>
  <si>
    <t>Clase</t>
  </si>
  <si>
    <t>Concepto</t>
  </si>
  <si>
    <t>Cantidad</t>
  </si>
  <si>
    <t>Unidad</t>
  </si>
  <si>
    <t>Costo unitario</t>
  </si>
  <si>
    <t>Subtotal</t>
  </si>
  <si>
    <t>Fuente, período y justificación</t>
  </si>
  <si>
    <t>Humanos</t>
  </si>
  <si>
    <t>Perfil Backend / Software Engineer (Thiago Leal)</t>
  </si>
  <si>
    <t>hora</t>
  </si>
  <si>
    <t>OPSSI-CESSI (T1-2026). Arquitectura FastAPI, triggers inmutables PostgreSQL, RLS y CI/CD.</t>
  </si>
  <si>
    <t>Perfil Frontend / UI Developer (Thiago Leal)</t>
  </si>
  <si>
    <t>OPSSI-CESSI (T1-2026). Consola de ventanilla en React, Tailwind CSS y grilla interactiva.</t>
  </si>
  <si>
    <t>Perfil Analista Funcional y QA (Thiago Leal)</t>
  </si>
  <si>
    <t>OPSSI-CESSI (T1-2026). Relevamiento empírico de campo, pruebas unitarias pytest y validación.</t>
  </si>
  <si>
    <t>Físicos y materiales</t>
  </si>
  <si>
    <t>Terminal de conserjería existente en ventanilla (PC Intel i3, 8GB RAM)</t>
  </si>
  <si>
    <t>equipo</t>
  </si>
  <si>
    <t>Equipo propio preexistente del motel en recepción (recurso amortizado por la empresa).</t>
  </si>
  <si>
    <t>Terminal POSNET físico de cobro electrónico (Mercado Pago)</t>
  </si>
  <si>
    <t>dispositivo</t>
  </si>
  <si>
    <t>Terminal física provista en comodato operativo sin costo de compra por la pasarela de pagos.</t>
  </si>
  <si>
    <t>Financieros</t>
  </si>
  <si>
    <t>Aprovisionamiento inicial y configuración Cloud Docker</t>
  </si>
  <si>
    <t>servicio</t>
  </si>
  <si>
    <t>Configuración de entorno de producción en VPS Linux, dominio SSL y contenedor Docker.</t>
  </si>
  <si>
    <t>Capacitación operativa al personal (3 turnos rotativos)</t>
  </si>
  <si>
    <t>jornada</t>
  </si>
  <si>
    <t>3 jornadas presenciales de 2 horas en ventanilla para 4 conserjes y gerente general.</t>
  </si>
  <si>
    <t>Tecnológicos</t>
  </si>
  <si>
    <t>Instancia Cloud VPS AWS EC2 (t4g.small Graviton ARM)</t>
  </si>
  <si>
    <t>mes</t>
  </si>
  <si>
    <t>Calculadora oficial AWS Pricing (USD 8/mes al TC oficial). Servidor backend y PostgreSQL.</t>
  </si>
  <si>
    <t>Almacenamiento y resguardo cifrado AWS S3 Glacier</t>
  </si>
  <si>
    <t>Calculadora oficial AWS Pricing (USD 1/mes). Backups diarios inmutables de base de datos.</t>
  </si>
  <si>
    <t>Otros</t>
  </si>
  <si>
    <t>Abono preventivo y soporte correctivo post-despliegue</t>
  </si>
  <si>
    <t>Mantenimiento evolutivo básico pactado con la gerencia (2 horas mensuales de guardia).</t>
  </si>
  <si>
    <t>Total general</t>
  </si>
  <si>
    <t>Horas humanas comprometidas</t>
  </si>
  <si>
    <t>Coherencia con el Capítulo V</t>
  </si>
  <si>
    <t>Panel de control de la entrega</t>
  </si>
  <si>
    <t>Los valores se calculan solos a partir de las demás hojas. Ninguna celda de esta hoja se escribe a mano.</t>
  </si>
  <si>
    <t>Indicador</t>
  </si>
  <si>
    <t>Valor</t>
  </si>
  <si>
    <t>Qué debe verificarse</t>
  </si>
  <si>
    <t>Requisitos registrados</t>
  </si>
  <si>
    <t>Un catálogo de menos de ocho requisitos rara vez cubre el alcance declarado.</t>
  </si>
  <si>
    <t>Requisitos con criterio de aceptación</t>
  </si>
  <si>
    <t>Debe coincidir con el total. Un requisito sin criterio no se computa.</t>
  </si>
  <si>
    <t>Requisitos trazados a un hallazgo o acta</t>
  </si>
  <si>
    <t>Debe coincidir con el total. Sin origen, el requisito no ingresa al catálogo.</t>
  </si>
  <si>
    <t>Requisitos no funcionales</t>
  </si>
  <si>
    <t>Un catálogo sin requisitos no funcionales no decidió arquitectura.</t>
  </si>
  <si>
    <t>No funcionales sin categoría declarada</t>
  </si>
  <si>
    <t>Debe ser cero.</t>
  </si>
  <si>
    <t>Requisitos «Must»</t>
  </si>
  <si>
    <t>Priorizar es nombrar lo que no se hará. Si casi todo es «Must», no se priorizó.</t>
  </si>
  <si>
    <t>Requisitos declarados dentro del MVP</t>
  </si>
  <si>
    <t>Debe coincidir con la cantidad de «Must».</t>
  </si>
  <si>
    <t>Coherencia entre «Must» y producto mínimo viable</t>
  </si>
  <si>
    <t>Si dice REVISAR, uno de los dos apartados está mal escrito: el catálogo o el V.5.</t>
  </si>
  <si>
    <t>Requisitos validados con el referente</t>
  </si>
  <si>
    <t>Un requisito redactado y no validado carece de valor probatorio.</t>
  </si>
  <si>
    <t>Filas del catálogo con campos faltantes</t>
  </si>
  <si>
    <t>Debe ser cero antes de exportar el PDF.</t>
  </si>
  <si>
    <t>Hallazgos de la AE1 registrados</t>
  </si>
  <si>
    <t>Todo hallazgo del Capítulo II que sostuvo el diagnóstico debería estar.</t>
  </si>
  <si>
    <t>Hallazgos sin requisito ni justificación</t>
  </si>
  <si>
    <t>Debe ser cero. El silencio no es una decisión.</t>
  </si>
  <si>
    <t>Entidades aceptadas en el modelo del dominio</t>
  </si>
  <si>
    <t>Cada una debe tener su fuente en la columna correspondiente.</t>
  </si>
  <si>
    <t>Candidatas evaluadas y reclasificadas</t>
  </si>
  <si>
    <t>Los descartes documentados son los que permiten defender la delimitación.</t>
  </si>
  <si>
    <t>Reglas de negocio registradas</t>
  </si>
  <si>
    <t>Mínimo exigido en el taller de la Clase 8: tres reglas enunciadas de modo verificable.</t>
  </si>
  <si>
    <t>Reglas todavía pendientes de validación</t>
  </si>
  <si>
    <t>Toda regla pendiente pasa a la guía de la sesión de validación.</t>
  </si>
  <si>
    <t>Términos del glosario en disputa</t>
  </si>
  <si>
    <t>Se resuelven con el referente y se cierran con una definición acordada.</t>
  </si>
  <si>
    <t>Horas asignadas a iteraciones</t>
  </si>
  <si>
    <t>Deben caber en el presupuesto efectivo de horas de la hoja Iteraciones.</t>
  </si>
  <si>
    <t>Coherencia entre recursos humanos y presupuesto de horas</t>
  </si>
  <si>
    <t>Las horas del Capítulo X y las del Capítulo V deben ser el mismo número.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</si>
</sst>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12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9.5"/>
      <color rgb="FF26262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9"/>
      <color rgb="FF1F4E79"/>
      <name val="Calibri"/>
      <family val="2"/>
      <scheme val="minor"/>
    </font>
    <font>
      <sz val="9"/>
      <color rgb="FF262626"/>
      <name val="Calibri"/>
      <family val="2"/>
      <scheme val="minor"/>
    </font>
    <font>
      <b/>
      <sz val="9"/>
      <color rgb="FF276A3C"/>
      <name val="Calibri"/>
      <family val="2"/>
      <scheme val="minor"/>
    </font>
    <font>
      <b/>
      <sz val="9"/>
      <color rgb="FF374151"/>
      <name val="Calibri"/>
      <family val="2"/>
      <scheme val="minor"/>
    </font>
    <font>
      <b/>
      <sz val="9.5"/>
      <color rgb="FF1F4E7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9EE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right" vertical="center"/>
    </xf>
    <xf numFmtId="164" fontId="8" fillId="7" borderId="4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right" vertical="center"/>
    </xf>
    <xf numFmtId="165" fontId="8" fillId="7" borderId="4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165" fontId="11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B16"/>
  <sheetViews>
    <sheetView tabSelected="1" workbookViewId="0"/>
  </sheetViews>
  <sheetFormatPr defaultRowHeight="15"/>
  <cols>
    <col min="1" max="1" width="28.7109375" customWidth="1"/>
    <col min="2" max="2" width="95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5" spans="1:2" ht="40" customHeight="1">
      <c r="A5" s="3" t="s">
        <v>3</v>
      </c>
      <c r="B5" s="4" t="s">
        <v>4</v>
      </c>
    </row>
    <row r="6" spans="1:2" ht="40" customHeight="1">
      <c r="A6" s="3" t="s">
        <v>5</v>
      </c>
      <c r="B6" s="4" t="s">
        <v>6</v>
      </c>
    </row>
    <row r="7" spans="1:2" ht="40" customHeight="1">
      <c r="A7" s="3" t="s">
        <v>7</v>
      </c>
      <c r="B7" s="4" t="s">
        <v>8</v>
      </c>
    </row>
    <row r="8" spans="1:2" ht="40" customHeight="1">
      <c r="A8" s="3" t="s">
        <v>9</v>
      </c>
      <c r="B8" s="4" t="s">
        <v>10</v>
      </c>
    </row>
    <row r="9" spans="1:2" ht="40" customHeight="1">
      <c r="A9" s="3" t="s">
        <v>11</v>
      </c>
      <c r="B9" s="4" t="s">
        <v>12</v>
      </c>
    </row>
    <row r="10" spans="1:2" ht="40" customHeight="1">
      <c r="A10" s="3" t="s">
        <v>13</v>
      </c>
      <c r="B10" s="4" t="s">
        <v>14</v>
      </c>
    </row>
    <row r="11" spans="1:2" ht="40" customHeight="1">
      <c r="A11" s="3" t="s">
        <v>15</v>
      </c>
      <c r="B11" s="4" t="s">
        <v>16</v>
      </c>
    </row>
    <row r="13" spans="1:2">
      <c r="A13" s="1" t="s">
        <v>17</v>
      </c>
    </row>
    <row r="14" spans="1:2" ht="22" customHeight="1">
      <c r="A14" s="3" t="s">
        <v>18</v>
      </c>
      <c r="B14" s="4" t="s">
        <v>19</v>
      </c>
    </row>
    <row r="15" spans="1:2" ht="22" customHeight="1">
      <c r="A15" s="3" t="s">
        <v>20</v>
      </c>
      <c r="B15" s="4" t="s">
        <v>21</v>
      </c>
    </row>
    <row r="16" spans="1:2" ht="22" customHeight="1">
      <c r="A16" s="3" t="s">
        <v>22</v>
      </c>
      <c r="B16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5597"/>
  </sheetPr>
  <dimension ref="A1:L24"/>
  <sheetViews>
    <sheetView workbookViewId="0"/>
  </sheetViews>
  <sheetFormatPr defaultRowHeight="15"/>
  <cols>
    <col min="1" max="1" width="10.7109375" customWidth="1"/>
    <col min="2" max="2" width="36.7109375" customWidth="1"/>
    <col min="3" max="3" width="14.7109375" customWidth="1"/>
    <col min="4" max="4" width="22.7109375" customWidth="1"/>
    <col min="5" max="5" width="12.7109375" customWidth="1"/>
    <col min="6" max="6" width="34.7109375" customWidth="1"/>
    <col min="7" max="7" width="46.7109375" customWidth="1"/>
    <col min="8" max="8" width="26.7109375" customWidth="1"/>
    <col min="9" max="9" width="16.7109375" customWidth="1"/>
    <col min="10" max="11" width="14.7109375" customWidth="1"/>
    <col min="12" max="12" width="18.7109375" customWidth="1"/>
  </cols>
  <sheetData>
    <row r="1" spans="1:12">
      <c r="A1" s="1" t="s">
        <v>24</v>
      </c>
    </row>
    <row r="2" spans="1:12">
      <c r="A2" s="2" t="s">
        <v>25</v>
      </c>
    </row>
    <row r="4" spans="1:12" ht="28" customHeight="1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36</v>
      </c>
      <c r="L4" s="6" t="s">
        <v>37</v>
      </c>
    </row>
    <row r="5" spans="1:12" ht="42" customHeight="1">
      <c r="A5" s="7" t="s">
        <v>38</v>
      </c>
      <c r="B5" s="8" t="s">
        <v>39</v>
      </c>
      <c r="C5" s="9" t="s">
        <v>40</v>
      </c>
      <c r="D5" s="9"/>
      <c r="E5" s="7" t="s">
        <v>41</v>
      </c>
      <c r="F5" s="8" t="s">
        <v>42</v>
      </c>
      <c r="G5" s="8" t="s">
        <v>43</v>
      </c>
      <c r="H5" s="8" t="s">
        <v>44</v>
      </c>
      <c r="I5" s="9" t="s">
        <v>45</v>
      </c>
      <c r="J5" s="9">
        <v>2</v>
      </c>
      <c r="K5" s="7" t="s">
        <v>46</v>
      </c>
      <c r="L5" s="10" t="str">
        <f>IF(AND(A5&lt;&gt;"",B5&lt;&gt;"",C5&lt;&gt;"",E5&lt;&gt;"",F5&lt;&gt;"",G5&lt;&gt;"",H5&lt;&gt;""),"Fila completa","Incompleto")</f>
        <v>Fila completa</v>
      </c>
    </row>
    <row r="6" spans="1:12" ht="42" customHeight="1">
      <c r="A6" s="11" t="s">
        <v>47</v>
      </c>
      <c r="B6" s="12" t="s">
        <v>48</v>
      </c>
      <c r="C6" s="13" t="s">
        <v>40</v>
      </c>
      <c r="D6" s="13"/>
      <c r="E6" s="11" t="s">
        <v>41</v>
      </c>
      <c r="F6" s="12" t="s">
        <v>49</v>
      </c>
      <c r="G6" s="12" t="s">
        <v>50</v>
      </c>
      <c r="H6" s="12" t="s">
        <v>51</v>
      </c>
      <c r="I6" s="13" t="s">
        <v>45</v>
      </c>
      <c r="J6" s="13">
        <v>2</v>
      </c>
      <c r="K6" s="11" t="s">
        <v>46</v>
      </c>
      <c r="L6" s="10" t="str">
        <f>IF(AND(A6&lt;&gt;"",B6&lt;&gt;"",C6&lt;&gt;"",E6&lt;&gt;"",F6&lt;&gt;"",G6&lt;&gt;"",H6&lt;&gt;""),"Fila completa","Incompleto")</f>
        <v>Fila completa</v>
      </c>
    </row>
    <row r="7" spans="1:12" ht="42" customHeight="1">
      <c r="A7" s="7" t="s">
        <v>52</v>
      </c>
      <c r="B7" s="8" t="s">
        <v>53</v>
      </c>
      <c r="C7" s="9" t="s">
        <v>40</v>
      </c>
      <c r="D7" s="9"/>
      <c r="E7" s="7" t="s">
        <v>41</v>
      </c>
      <c r="F7" s="8" t="s">
        <v>54</v>
      </c>
      <c r="G7" s="8" t="s">
        <v>55</v>
      </c>
      <c r="H7" s="8" t="s">
        <v>56</v>
      </c>
      <c r="I7" s="9" t="s">
        <v>45</v>
      </c>
      <c r="J7" s="9">
        <v>2</v>
      </c>
      <c r="K7" s="7" t="s">
        <v>46</v>
      </c>
      <c r="L7" s="10" t="str">
        <f>IF(AND(A7&lt;&gt;"",B7&lt;&gt;"",C7&lt;&gt;"",E7&lt;&gt;"",F7&lt;&gt;"",G7&lt;&gt;"",H7&lt;&gt;""),"Fila completa","Incompleto")</f>
        <v>Fila completa</v>
      </c>
    </row>
    <row r="8" spans="1:12" ht="42" customHeight="1">
      <c r="A8" s="11" t="s">
        <v>57</v>
      </c>
      <c r="B8" s="12" t="s">
        <v>58</v>
      </c>
      <c r="C8" s="13" t="s">
        <v>40</v>
      </c>
      <c r="D8" s="13"/>
      <c r="E8" s="11" t="s">
        <v>41</v>
      </c>
      <c r="F8" s="12" t="s">
        <v>59</v>
      </c>
      <c r="G8" s="12" t="s">
        <v>60</v>
      </c>
      <c r="H8" s="12" t="s">
        <v>61</v>
      </c>
      <c r="I8" s="13" t="s">
        <v>45</v>
      </c>
      <c r="J8" s="13">
        <v>2</v>
      </c>
      <c r="K8" s="11" t="s">
        <v>46</v>
      </c>
      <c r="L8" s="10" t="str">
        <f>IF(AND(A8&lt;&gt;"",B8&lt;&gt;"",C8&lt;&gt;"",E8&lt;&gt;"",F8&lt;&gt;"",G8&lt;&gt;"",H8&lt;&gt;""),"Fila completa","Incompleto")</f>
        <v>Fila completa</v>
      </c>
    </row>
    <row r="9" spans="1:12" ht="42" customHeight="1">
      <c r="A9" s="7" t="s">
        <v>62</v>
      </c>
      <c r="B9" s="8" t="s">
        <v>63</v>
      </c>
      <c r="C9" s="9" t="s">
        <v>40</v>
      </c>
      <c r="D9" s="9"/>
      <c r="E9" s="7" t="s">
        <v>41</v>
      </c>
      <c r="F9" s="8" t="s">
        <v>64</v>
      </c>
      <c r="G9" s="8" t="s">
        <v>65</v>
      </c>
      <c r="H9" s="8" t="s">
        <v>66</v>
      </c>
      <c r="I9" s="9" t="s">
        <v>45</v>
      </c>
      <c r="J9" s="9">
        <v>2</v>
      </c>
      <c r="K9" s="7" t="s">
        <v>46</v>
      </c>
      <c r="L9" s="10" t="str">
        <f>IF(AND(A9&lt;&gt;"",B9&lt;&gt;"",C9&lt;&gt;"",E9&lt;&gt;"",F9&lt;&gt;"",G9&lt;&gt;"",H9&lt;&gt;""),"Fila completa","Incompleto")</f>
        <v>Fila completa</v>
      </c>
    </row>
    <row r="10" spans="1:12" ht="42" customHeight="1">
      <c r="A10" s="11" t="s">
        <v>67</v>
      </c>
      <c r="B10" s="12" t="s">
        <v>68</v>
      </c>
      <c r="C10" s="13" t="s">
        <v>40</v>
      </c>
      <c r="D10" s="13"/>
      <c r="E10" s="11" t="s">
        <v>41</v>
      </c>
      <c r="F10" s="12" t="s">
        <v>69</v>
      </c>
      <c r="G10" s="12" t="s">
        <v>70</v>
      </c>
      <c r="H10" s="12" t="s">
        <v>71</v>
      </c>
      <c r="I10" s="13" t="s">
        <v>45</v>
      </c>
      <c r="J10" s="13">
        <v>2</v>
      </c>
      <c r="K10" s="11" t="s">
        <v>46</v>
      </c>
      <c r="L10" s="10" t="str">
        <f>IF(AND(A10&lt;&gt;"",B10&lt;&gt;"",C10&lt;&gt;"",E10&lt;&gt;"",F10&lt;&gt;"",G10&lt;&gt;"",H10&lt;&gt;""),"Fila completa","Incompleto")</f>
        <v>Fila completa</v>
      </c>
    </row>
    <row r="11" spans="1:12" ht="42" customHeight="1">
      <c r="A11" s="7" t="s">
        <v>72</v>
      </c>
      <c r="B11" s="8" t="s">
        <v>73</v>
      </c>
      <c r="C11" s="9" t="s">
        <v>40</v>
      </c>
      <c r="D11" s="9"/>
      <c r="E11" s="7" t="s">
        <v>41</v>
      </c>
      <c r="F11" s="8" t="s">
        <v>74</v>
      </c>
      <c r="G11" s="8" t="s">
        <v>75</v>
      </c>
      <c r="H11" s="8" t="s">
        <v>76</v>
      </c>
      <c r="I11" s="9" t="s">
        <v>45</v>
      </c>
      <c r="J11" s="9">
        <v>2</v>
      </c>
      <c r="K11" s="7" t="s">
        <v>46</v>
      </c>
      <c r="L11" s="10" t="str">
        <f>IF(AND(A11&lt;&gt;"",B11&lt;&gt;"",C11&lt;&gt;"",E11&lt;&gt;"",F11&lt;&gt;"",G11&lt;&gt;"",H11&lt;&gt;""),"Fila completa","Incompleto")</f>
        <v>Fila completa</v>
      </c>
    </row>
    <row r="12" spans="1:12" ht="42" customHeight="1">
      <c r="A12" s="11" t="s">
        <v>77</v>
      </c>
      <c r="B12" s="12" t="s">
        <v>78</v>
      </c>
      <c r="C12" s="13" t="s">
        <v>40</v>
      </c>
      <c r="D12" s="13"/>
      <c r="E12" s="11" t="s">
        <v>41</v>
      </c>
      <c r="F12" s="12" t="s">
        <v>79</v>
      </c>
      <c r="G12" s="12" t="s">
        <v>80</v>
      </c>
      <c r="H12" s="12" t="s">
        <v>81</v>
      </c>
      <c r="I12" s="13" t="s">
        <v>45</v>
      </c>
      <c r="J12" s="13">
        <v>2</v>
      </c>
      <c r="K12" s="11" t="s">
        <v>46</v>
      </c>
      <c r="L12" s="10" t="str">
        <f>IF(AND(A12&lt;&gt;"",B12&lt;&gt;"",C12&lt;&gt;"",E12&lt;&gt;"",F12&lt;&gt;"",G12&lt;&gt;"",H12&lt;&gt;""),"Fila completa","Incompleto")</f>
        <v>Fila completa</v>
      </c>
    </row>
    <row r="13" spans="1:12" ht="42" customHeight="1">
      <c r="A13" s="7" t="s">
        <v>82</v>
      </c>
      <c r="B13" s="8" t="s">
        <v>83</v>
      </c>
      <c r="C13" s="9" t="s">
        <v>40</v>
      </c>
      <c r="D13" s="9"/>
      <c r="E13" s="7" t="s">
        <v>41</v>
      </c>
      <c r="F13" s="8" t="s">
        <v>84</v>
      </c>
      <c r="G13" s="8" t="s">
        <v>85</v>
      </c>
      <c r="H13" s="8" t="s">
        <v>86</v>
      </c>
      <c r="I13" s="9" t="s">
        <v>45</v>
      </c>
      <c r="J13" s="9">
        <v>2</v>
      </c>
      <c r="K13" s="7" t="s">
        <v>46</v>
      </c>
      <c r="L13" s="10" t="str">
        <f>IF(AND(A13&lt;&gt;"",B13&lt;&gt;"",C13&lt;&gt;"",E13&lt;&gt;"",F13&lt;&gt;"",G13&lt;&gt;"",H13&lt;&gt;""),"Fila completa","Incompleto")</f>
        <v>Fila completa</v>
      </c>
    </row>
    <row r="14" spans="1:12" ht="42" customHeight="1">
      <c r="A14" s="11" t="s">
        <v>87</v>
      </c>
      <c r="B14" s="12" t="s">
        <v>88</v>
      </c>
      <c r="C14" s="13" t="s">
        <v>40</v>
      </c>
      <c r="D14" s="13"/>
      <c r="E14" s="11" t="s">
        <v>89</v>
      </c>
      <c r="F14" s="12" t="s">
        <v>90</v>
      </c>
      <c r="G14" s="12" t="s">
        <v>91</v>
      </c>
      <c r="H14" s="12" t="s">
        <v>92</v>
      </c>
      <c r="I14" s="13" t="s">
        <v>45</v>
      </c>
      <c r="J14" s="13">
        <v>3</v>
      </c>
      <c r="K14" s="11" t="s">
        <v>93</v>
      </c>
      <c r="L14" s="10" t="str">
        <f>IF(AND(A14&lt;&gt;"",B14&lt;&gt;"",C14&lt;&gt;"",E14&lt;&gt;"",F14&lt;&gt;"",G14&lt;&gt;"",H14&lt;&gt;""),"Fila completa","Incompleto")</f>
        <v>Fila completa</v>
      </c>
    </row>
    <row r="15" spans="1:12" ht="42" customHeight="1">
      <c r="A15" s="7" t="s">
        <v>94</v>
      </c>
      <c r="B15" s="8" t="s">
        <v>95</v>
      </c>
      <c r="C15" s="9" t="s">
        <v>40</v>
      </c>
      <c r="D15" s="9"/>
      <c r="E15" s="7" t="s">
        <v>89</v>
      </c>
      <c r="F15" s="8" t="s">
        <v>96</v>
      </c>
      <c r="G15" s="8" t="s">
        <v>97</v>
      </c>
      <c r="H15" s="8" t="s">
        <v>98</v>
      </c>
      <c r="I15" s="9" t="s">
        <v>45</v>
      </c>
      <c r="J15" s="9">
        <v>3</v>
      </c>
      <c r="K15" s="7" t="s">
        <v>93</v>
      </c>
      <c r="L15" s="10" t="str">
        <f>IF(AND(A15&lt;&gt;"",B15&lt;&gt;"",C15&lt;&gt;"",E15&lt;&gt;"",F15&lt;&gt;"",G15&lt;&gt;"",H15&lt;&gt;""),"Fila completa","Incompleto")</f>
        <v>Fila completa</v>
      </c>
    </row>
    <row r="16" spans="1:12" ht="42" customHeight="1">
      <c r="A16" s="11" t="s">
        <v>99</v>
      </c>
      <c r="B16" s="12" t="s">
        <v>100</v>
      </c>
      <c r="C16" s="13" t="s">
        <v>40</v>
      </c>
      <c r="D16" s="13"/>
      <c r="E16" s="11" t="s">
        <v>101</v>
      </c>
      <c r="F16" s="12" t="s">
        <v>102</v>
      </c>
      <c r="G16" s="12" t="s">
        <v>103</v>
      </c>
      <c r="H16" s="12" t="s">
        <v>104</v>
      </c>
      <c r="I16" s="13" t="s">
        <v>45</v>
      </c>
      <c r="J16" s="13">
        <v>3</v>
      </c>
      <c r="K16" s="11" t="s">
        <v>93</v>
      </c>
      <c r="L16" s="10" t="str">
        <f>IF(AND(A16&lt;&gt;"",B16&lt;&gt;"",C16&lt;&gt;"",E16&lt;&gt;"",F16&lt;&gt;"",G16&lt;&gt;"",H16&lt;&gt;""),"Fila completa","Incompleto")</f>
        <v>Fila completa</v>
      </c>
    </row>
    <row r="17" spans="1:12" ht="42" customHeight="1">
      <c r="A17" s="7" t="s">
        <v>105</v>
      </c>
      <c r="B17" s="8" t="s">
        <v>106</v>
      </c>
      <c r="C17" s="9" t="s">
        <v>40</v>
      </c>
      <c r="D17" s="9"/>
      <c r="E17" s="7" t="s">
        <v>107</v>
      </c>
      <c r="F17" s="8" t="s">
        <v>108</v>
      </c>
      <c r="G17" s="8" t="s">
        <v>109</v>
      </c>
      <c r="H17" s="8" t="s">
        <v>110</v>
      </c>
      <c r="I17" s="9" t="s">
        <v>45</v>
      </c>
      <c r="J17" s="9">
        <v>4</v>
      </c>
      <c r="K17" s="7" t="s">
        <v>93</v>
      </c>
      <c r="L17" s="10" t="str">
        <f>IF(AND(A17&lt;&gt;"",B17&lt;&gt;"",C17&lt;&gt;"",E17&lt;&gt;"",F17&lt;&gt;"",G17&lt;&gt;"",H17&lt;&gt;""),"Fila completa","Incompleto")</f>
        <v>Fila completa</v>
      </c>
    </row>
    <row r="18" spans="1:12" ht="42" customHeight="1">
      <c r="A18" s="11" t="s">
        <v>111</v>
      </c>
      <c r="B18" s="12" t="s">
        <v>112</v>
      </c>
      <c r="C18" s="13" t="s">
        <v>113</v>
      </c>
      <c r="D18" s="13" t="s">
        <v>114</v>
      </c>
      <c r="E18" s="11" t="s">
        <v>41</v>
      </c>
      <c r="F18" s="12" t="s">
        <v>115</v>
      </c>
      <c r="G18" s="12" t="s">
        <v>116</v>
      </c>
      <c r="H18" s="12" t="s">
        <v>117</v>
      </c>
      <c r="I18" s="13" t="s">
        <v>45</v>
      </c>
      <c r="J18" s="13">
        <v>2</v>
      </c>
      <c r="K18" s="11" t="s">
        <v>46</v>
      </c>
      <c r="L18" s="10" t="str">
        <f>IF(AND(A18&lt;&gt;"",B18&lt;&gt;"",C18&lt;&gt;"",E18&lt;&gt;"",F18&lt;&gt;"",G18&lt;&gt;"",H18&lt;&gt;""),"Fila completa","Incompleto")</f>
        <v>Fila completa</v>
      </c>
    </row>
    <row r="19" spans="1:12" ht="42" customHeight="1">
      <c r="A19" s="7" t="s">
        <v>118</v>
      </c>
      <c r="B19" s="8" t="s">
        <v>119</v>
      </c>
      <c r="C19" s="9" t="s">
        <v>113</v>
      </c>
      <c r="D19" s="9" t="s">
        <v>120</v>
      </c>
      <c r="E19" s="7" t="s">
        <v>41</v>
      </c>
      <c r="F19" s="8" t="s">
        <v>121</v>
      </c>
      <c r="G19" s="8" t="s">
        <v>122</v>
      </c>
      <c r="H19" s="8" t="s">
        <v>123</v>
      </c>
      <c r="I19" s="9" t="s">
        <v>45</v>
      </c>
      <c r="J19" s="9">
        <v>2</v>
      </c>
      <c r="K19" s="7" t="s">
        <v>46</v>
      </c>
      <c r="L19" s="10" t="str">
        <f>IF(AND(A19&lt;&gt;"",B19&lt;&gt;"",C19&lt;&gt;"",E19&lt;&gt;"",F19&lt;&gt;"",G19&lt;&gt;"",H19&lt;&gt;""),"Fila completa","Incompleto")</f>
        <v>Fila completa</v>
      </c>
    </row>
    <row r="20" spans="1:12" ht="42" customHeight="1">
      <c r="A20" s="11" t="s">
        <v>124</v>
      </c>
      <c r="B20" s="12" t="s">
        <v>125</v>
      </c>
      <c r="C20" s="13" t="s">
        <v>113</v>
      </c>
      <c r="D20" s="13" t="s">
        <v>126</v>
      </c>
      <c r="E20" s="11" t="s">
        <v>41</v>
      </c>
      <c r="F20" s="12" t="s">
        <v>127</v>
      </c>
      <c r="G20" s="12" t="s">
        <v>128</v>
      </c>
      <c r="H20" s="12" t="s">
        <v>129</v>
      </c>
      <c r="I20" s="13" t="s">
        <v>45</v>
      </c>
      <c r="J20" s="13">
        <v>2</v>
      </c>
      <c r="K20" s="11" t="s">
        <v>46</v>
      </c>
      <c r="L20" s="10" t="str">
        <f>IF(AND(A20&lt;&gt;"",B20&lt;&gt;"",C20&lt;&gt;"",E20&lt;&gt;"",F20&lt;&gt;"",G20&lt;&gt;"",H20&lt;&gt;""),"Fila completa","Incompleto")</f>
        <v>Fila completa</v>
      </c>
    </row>
    <row r="21" spans="1:12" ht="42" customHeight="1">
      <c r="A21" s="7" t="s">
        <v>130</v>
      </c>
      <c r="B21" s="8" t="s">
        <v>131</v>
      </c>
      <c r="C21" s="9" t="s">
        <v>113</v>
      </c>
      <c r="D21" s="9" t="s">
        <v>132</v>
      </c>
      <c r="E21" s="7" t="s">
        <v>41</v>
      </c>
      <c r="F21" s="8" t="s">
        <v>133</v>
      </c>
      <c r="G21" s="8" t="s">
        <v>134</v>
      </c>
      <c r="H21" s="8" t="s">
        <v>135</v>
      </c>
      <c r="I21" s="9" t="s">
        <v>45</v>
      </c>
      <c r="J21" s="9">
        <v>2</v>
      </c>
      <c r="K21" s="7" t="s">
        <v>46</v>
      </c>
      <c r="L21" s="10" t="str">
        <f>IF(AND(A21&lt;&gt;"",B21&lt;&gt;"",C21&lt;&gt;"",E21&lt;&gt;"",F21&lt;&gt;"",G21&lt;&gt;"",H21&lt;&gt;""),"Fila completa","Incompleto")</f>
        <v>Fila completa</v>
      </c>
    </row>
    <row r="22" spans="1:12" ht="42" customHeight="1">
      <c r="A22" s="11" t="s">
        <v>136</v>
      </c>
      <c r="B22" s="12" t="s">
        <v>137</v>
      </c>
      <c r="C22" s="13" t="s">
        <v>113</v>
      </c>
      <c r="D22" s="13" t="s">
        <v>138</v>
      </c>
      <c r="E22" s="11" t="s">
        <v>41</v>
      </c>
      <c r="F22" s="12" t="s">
        <v>139</v>
      </c>
      <c r="G22" s="12" t="s">
        <v>140</v>
      </c>
      <c r="H22" s="12" t="s">
        <v>141</v>
      </c>
      <c r="I22" s="13" t="s">
        <v>45</v>
      </c>
      <c r="J22" s="13">
        <v>2</v>
      </c>
      <c r="K22" s="11" t="s">
        <v>46</v>
      </c>
      <c r="L22" s="10" t="str">
        <f>IF(AND(A22&lt;&gt;"",B22&lt;&gt;"",C22&lt;&gt;"",E22&lt;&gt;"",F22&lt;&gt;"",G22&lt;&gt;"",H22&lt;&gt;""),"Fila completa","Incompleto")</f>
        <v>Fila completa</v>
      </c>
    </row>
    <row r="23" spans="1:12" ht="42" customHeight="1">
      <c r="A23" s="7" t="s">
        <v>142</v>
      </c>
      <c r="B23" s="8" t="s">
        <v>143</v>
      </c>
      <c r="C23" s="9" t="s">
        <v>113</v>
      </c>
      <c r="D23" s="9" t="s">
        <v>144</v>
      </c>
      <c r="E23" s="7" t="s">
        <v>89</v>
      </c>
      <c r="F23" s="8" t="s">
        <v>145</v>
      </c>
      <c r="G23" s="8" t="s">
        <v>146</v>
      </c>
      <c r="H23" s="8" t="s">
        <v>147</v>
      </c>
      <c r="I23" s="9" t="s">
        <v>45</v>
      </c>
      <c r="J23" s="9">
        <v>3</v>
      </c>
      <c r="K23" s="7" t="s">
        <v>93</v>
      </c>
      <c r="L23" s="10" t="str">
        <f>IF(AND(A23&lt;&gt;"",B23&lt;&gt;"",C23&lt;&gt;"",E23&lt;&gt;"",F23&lt;&gt;"",G23&lt;&gt;"",H23&lt;&gt;""),"Fila completa","Incompleto")</f>
        <v>Fila completa</v>
      </c>
    </row>
    <row r="24" spans="1:12" ht="42" customHeight="1">
      <c r="A24" s="11" t="s">
        <v>148</v>
      </c>
      <c r="B24" s="12" t="s">
        <v>149</v>
      </c>
      <c r="C24" s="13" t="s">
        <v>113</v>
      </c>
      <c r="D24" s="13" t="s">
        <v>150</v>
      </c>
      <c r="E24" s="11" t="s">
        <v>89</v>
      </c>
      <c r="F24" s="12" t="s">
        <v>151</v>
      </c>
      <c r="G24" s="12" t="s">
        <v>152</v>
      </c>
      <c r="H24" s="12" t="s">
        <v>153</v>
      </c>
      <c r="I24" s="13" t="s">
        <v>45</v>
      </c>
      <c r="J24" s="13">
        <v>3</v>
      </c>
      <c r="K24" s="11" t="s">
        <v>93</v>
      </c>
      <c r="L24" s="10" t="str">
        <f>IF(AND(A24&lt;&gt;"",B24&lt;&gt;"",C24&lt;&gt;"",E24&lt;&gt;"",F24&lt;&gt;"",G24&lt;&gt;"",H24&lt;&gt;""),"Fila completa","Incompleto")</f>
        <v>Fila completa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597"/>
  </sheetPr>
  <dimension ref="A1:F23"/>
  <sheetViews>
    <sheetView workbookViewId="0"/>
  </sheetViews>
  <sheetFormatPr defaultRowHeight="15"/>
  <cols>
    <col min="1" max="1" width="16.7109375" customWidth="1"/>
    <col min="2" max="2" width="44.7109375" customWidth="1"/>
    <col min="3" max="3" width="32.7109375" customWidth="1"/>
    <col min="4" max="4" width="22.7109375" customWidth="1"/>
    <col min="5" max="5" width="42.7109375" customWidth="1"/>
    <col min="6" max="6" width="22.7109375" customWidth="1"/>
  </cols>
  <sheetData>
    <row r="1" spans="1:6">
      <c r="A1" s="1" t="s">
        <v>154</v>
      </c>
    </row>
    <row r="2" spans="1:6">
      <c r="A2" s="2" t="s">
        <v>155</v>
      </c>
    </row>
    <row r="4" spans="1:6" ht="26" customHeight="1">
      <c r="A4" s="5" t="s">
        <v>156</v>
      </c>
      <c r="B4" s="5" t="s">
        <v>157</v>
      </c>
      <c r="C4" s="5" t="s">
        <v>158</v>
      </c>
      <c r="D4" s="5" t="s">
        <v>159</v>
      </c>
      <c r="E4" s="5" t="s">
        <v>160</v>
      </c>
      <c r="F4" s="6" t="s">
        <v>161</v>
      </c>
    </row>
    <row r="5" spans="1:6" ht="32" customHeight="1">
      <c r="A5" s="7" t="s">
        <v>162</v>
      </c>
      <c r="B5" s="8" t="s">
        <v>163</v>
      </c>
      <c r="C5" s="8" t="s">
        <v>164</v>
      </c>
      <c r="D5" s="7" t="s">
        <v>165</v>
      </c>
      <c r="E5" s="8"/>
      <c r="F5" s="10" t="str">
        <f>IF(D5&lt;&gt;"","Deriva requisito",IF(E5&lt;&gt;"","Justificado sin requisito","Incompleto"))</f>
        <v>Deriva requisito</v>
      </c>
    </row>
    <row r="6" spans="1:6" ht="32" customHeight="1">
      <c r="A6" s="11" t="s">
        <v>166</v>
      </c>
      <c r="B6" s="12" t="s">
        <v>167</v>
      </c>
      <c r="C6" s="12" t="s">
        <v>168</v>
      </c>
      <c r="D6" s="11" t="s">
        <v>47</v>
      </c>
      <c r="E6" s="12"/>
      <c r="F6" s="10" t="str">
        <f>IF(D6&lt;&gt;"","Deriva requisito",IF(E6&lt;&gt;"","Justificado sin requisito","Incompleto"))</f>
        <v>Deriva requisito</v>
      </c>
    </row>
    <row r="7" spans="1:6" ht="32" customHeight="1">
      <c r="A7" s="7" t="s">
        <v>169</v>
      </c>
      <c r="B7" s="8" t="s">
        <v>170</v>
      </c>
      <c r="C7" s="8" t="s">
        <v>171</v>
      </c>
      <c r="D7" s="7" t="s">
        <v>52</v>
      </c>
      <c r="E7" s="8"/>
      <c r="F7" s="10" t="str">
        <f>IF(D7&lt;&gt;"","Deriva requisito",IF(E7&lt;&gt;"","Justificado sin requisito","Incompleto"))</f>
        <v>Deriva requisito</v>
      </c>
    </row>
    <row r="8" spans="1:6" ht="32" customHeight="1">
      <c r="A8" s="11" t="s">
        <v>172</v>
      </c>
      <c r="B8" s="12" t="s">
        <v>173</v>
      </c>
      <c r="C8" s="12" t="s">
        <v>174</v>
      </c>
      <c r="D8" s="11" t="s">
        <v>57</v>
      </c>
      <c r="E8" s="12"/>
      <c r="F8" s="10" t="str">
        <f>IF(D8&lt;&gt;"","Deriva requisito",IF(E8&lt;&gt;"","Justificado sin requisito","Incompleto"))</f>
        <v>Deriva requisito</v>
      </c>
    </row>
    <row r="9" spans="1:6" ht="32" customHeight="1">
      <c r="A9" s="7" t="s">
        <v>175</v>
      </c>
      <c r="B9" s="8" t="s">
        <v>176</v>
      </c>
      <c r="C9" s="8" t="s">
        <v>177</v>
      </c>
      <c r="D9" s="7" t="s">
        <v>62</v>
      </c>
      <c r="E9" s="8"/>
      <c r="F9" s="10" t="str">
        <f>IF(D9&lt;&gt;"","Deriva requisito",IF(E9&lt;&gt;"","Justificado sin requisito","Incompleto"))</f>
        <v>Deriva requisito</v>
      </c>
    </row>
    <row r="10" spans="1:6" ht="32" customHeight="1">
      <c r="A10" s="11" t="s">
        <v>178</v>
      </c>
      <c r="B10" s="12" t="s">
        <v>179</v>
      </c>
      <c r="C10" s="12" t="s">
        <v>180</v>
      </c>
      <c r="D10" s="11" t="s">
        <v>67</v>
      </c>
      <c r="E10" s="12"/>
      <c r="F10" s="10" t="str">
        <f>IF(D10&lt;&gt;"","Deriva requisito",IF(E10&lt;&gt;"","Justificado sin requisito","Incompleto"))</f>
        <v>Deriva requisito</v>
      </c>
    </row>
    <row r="11" spans="1:6" ht="32" customHeight="1">
      <c r="A11" s="7" t="s">
        <v>181</v>
      </c>
      <c r="B11" s="8" t="s">
        <v>182</v>
      </c>
      <c r="C11" s="8" t="s">
        <v>183</v>
      </c>
      <c r="D11" s="7" t="s">
        <v>72</v>
      </c>
      <c r="E11" s="8"/>
      <c r="F11" s="10" t="str">
        <f>IF(D11&lt;&gt;"","Deriva requisito",IF(E11&lt;&gt;"","Justificado sin requisito","Incompleto"))</f>
        <v>Deriva requisito</v>
      </c>
    </row>
    <row r="12" spans="1:6" ht="32" customHeight="1">
      <c r="A12" s="11" t="s">
        <v>184</v>
      </c>
      <c r="B12" s="12" t="s">
        <v>185</v>
      </c>
      <c r="C12" s="12" t="s">
        <v>186</v>
      </c>
      <c r="D12" s="11" t="s">
        <v>187</v>
      </c>
      <c r="E12" s="12"/>
      <c r="F12" s="10" t="str">
        <f>IF(D12&lt;&gt;"","Deriva requisito",IF(E12&lt;&gt;"","Justificado sin requisito","Incompleto"))</f>
        <v>Deriva requisito</v>
      </c>
    </row>
    <row r="13" spans="1:6" ht="32" customHeight="1">
      <c r="A13" s="7" t="s">
        <v>188</v>
      </c>
      <c r="B13" s="8" t="s">
        <v>189</v>
      </c>
      <c r="C13" s="8" t="s">
        <v>190</v>
      </c>
      <c r="D13" s="7" t="s">
        <v>191</v>
      </c>
      <c r="E13" s="8"/>
      <c r="F13" s="10" t="str">
        <f>IF(D13&lt;&gt;"","Deriva requisito",IF(E13&lt;&gt;"","Justificado sin requisito","Incompleto"))</f>
        <v>Deriva requisito</v>
      </c>
    </row>
    <row r="14" spans="1:6" ht="32" customHeight="1">
      <c r="A14" s="11" t="s">
        <v>192</v>
      </c>
      <c r="B14" s="12" t="s">
        <v>193</v>
      </c>
      <c r="C14" s="12" t="s">
        <v>194</v>
      </c>
      <c r="D14" s="11" t="s">
        <v>87</v>
      </c>
      <c r="E14" s="12"/>
      <c r="F14" s="10" t="str">
        <f>IF(D14&lt;&gt;"","Deriva requisito",IF(E14&lt;&gt;"","Justificado sin requisito","Incompleto"))</f>
        <v>Deriva requisito</v>
      </c>
    </row>
    <row r="15" spans="1:6" ht="32" customHeight="1">
      <c r="A15" s="7" t="s">
        <v>195</v>
      </c>
      <c r="B15" s="8" t="s">
        <v>196</v>
      </c>
      <c r="C15" s="8" t="s">
        <v>197</v>
      </c>
      <c r="D15" s="7" t="s">
        <v>94</v>
      </c>
      <c r="E15" s="8"/>
      <c r="F15" s="10" t="str">
        <f>IF(D15&lt;&gt;"","Deriva requisito",IF(E15&lt;&gt;"","Justificado sin requisito","Incompleto"))</f>
        <v>Deriva requisito</v>
      </c>
    </row>
    <row r="16" spans="1:6" ht="32" customHeight="1">
      <c r="A16" s="11" t="s">
        <v>198</v>
      </c>
      <c r="B16" s="12" t="s">
        <v>199</v>
      </c>
      <c r="C16" s="12" t="s">
        <v>200</v>
      </c>
      <c r="D16" s="11" t="s">
        <v>99</v>
      </c>
      <c r="E16" s="12"/>
      <c r="F16" s="10" t="str">
        <f>IF(D16&lt;&gt;"","Deriva requisito",IF(E16&lt;&gt;"","Justificado sin requisito","Incompleto"))</f>
        <v>Deriva requisito</v>
      </c>
    </row>
    <row r="17" spans="1:6" ht="32" customHeight="1">
      <c r="A17" s="7" t="s">
        <v>201</v>
      </c>
      <c r="B17" s="8" t="s">
        <v>202</v>
      </c>
      <c r="C17" s="8" t="s">
        <v>203</v>
      </c>
      <c r="D17" s="7" t="s">
        <v>124</v>
      </c>
      <c r="E17" s="8"/>
      <c r="F17" s="10" t="str">
        <f>IF(D17&lt;&gt;"","Deriva requisito",IF(E17&lt;&gt;"","Justificado sin requisito","Incompleto"))</f>
        <v>Deriva requisito</v>
      </c>
    </row>
    <row r="18" spans="1:6" ht="32" customHeight="1">
      <c r="A18" s="11" t="s">
        <v>204</v>
      </c>
      <c r="B18" s="12" t="s">
        <v>205</v>
      </c>
      <c r="C18" s="12" t="s">
        <v>206</v>
      </c>
      <c r="D18" s="11" t="s">
        <v>130</v>
      </c>
      <c r="E18" s="12"/>
      <c r="F18" s="10" t="str">
        <f>IF(D18&lt;&gt;"","Deriva requisito",IF(E18&lt;&gt;"","Justificado sin requisito","Incompleto"))</f>
        <v>Deriva requisito</v>
      </c>
    </row>
    <row r="19" spans="1:6" ht="32" customHeight="1">
      <c r="A19" s="7" t="s">
        <v>207</v>
      </c>
      <c r="B19" s="8" t="s">
        <v>208</v>
      </c>
      <c r="C19" s="8" t="s">
        <v>209</v>
      </c>
      <c r="D19" s="7" t="s">
        <v>136</v>
      </c>
      <c r="E19" s="8"/>
      <c r="F19" s="10" t="str">
        <f>IF(D19&lt;&gt;"","Deriva requisito",IF(E19&lt;&gt;"","Justificado sin requisito","Incompleto"))</f>
        <v>Deriva requisito</v>
      </c>
    </row>
    <row r="20" spans="1:6" ht="32" customHeight="1">
      <c r="A20" s="11" t="s">
        <v>210</v>
      </c>
      <c r="B20" s="12" t="s">
        <v>211</v>
      </c>
      <c r="C20" s="12" t="s">
        <v>212</v>
      </c>
      <c r="D20" s="11" t="s">
        <v>142</v>
      </c>
      <c r="E20" s="12"/>
      <c r="F20" s="10" t="str">
        <f>IF(D20&lt;&gt;"","Deriva requisito",IF(E20&lt;&gt;"","Justificado sin requisito","Incompleto"))</f>
        <v>Deriva requisito</v>
      </c>
    </row>
    <row r="21" spans="1:6" ht="32" customHeight="1">
      <c r="A21" s="7" t="s">
        <v>213</v>
      </c>
      <c r="B21" s="8" t="s">
        <v>214</v>
      </c>
      <c r="C21" s="8" t="s">
        <v>215</v>
      </c>
      <c r="D21" s="7" t="s">
        <v>148</v>
      </c>
      <c r="E21" s="8"/>
      <c r="F21" s="10" t="str">
        <f>IF(D21&lt;&gt;"","Deriva requisito",IF(E21&lt;&gt;"","Justificado sin requisito","Incompleto"))</f>
        <v>Deriva requisito</v>
      </c>
    </row>
    <row r="22" spans="1:6" ht="32" customHeight="1">
      <c r="A22" s="11" t="s">
        <v>216</v>
      </c>
      <c r="B22" s="12" t="s">
        <v>217</v>
      </c>
      <c r="C22" s="12" t="s">
        <v>218</v>
      </c>
      <c r="D22" s="11"/>
      <c r="E22" s="12" t="s">
        <v>219</v>
      </c>
      <c r="F22" s="10" t="str">
        <f>IF(D22&lt;&gt;"","Deriva requisito",IF(E22&lt;&gt;"","Justificado sin requisito","Incompleto"))</f>
        <v>Justificado sin requisito</v>
      </c>
    </row>
    <row r="23" spans="1:6" ht="32" customHeight="1">
      <c r="A23" s="7" t="s">
        <v>220</v>
      </c>
      <c r="B23" s="8" t="s">
        <v>221</v>
      </c>
      <c r="C23" s="8" t="s">
        <v>222</v>
      </c>
      <c r="D23" s="7"/>
      <c r="E23" s="8" t="s">
        <v>223</v>
      </c>
      <c r="F23" s="10" t="str">
        <f>IF(D23&lt;&gt;"","Deriva requisito",IF(E23&lt;&gt;"","Justificado sin requisito","Incompleto"))</f>
        <v>Justificado sin requisito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5597"/>
  </sheetPr>
  <dimension ref="A1:G15"/>
  <sheetViews>
    <sheetView workbookViewId="0"/>
  </sheetViews>
  <sheetFormatPr defaultRowHeight="15"/>
  <cols>
    <col min="1" max="1" width="24.7109375" customWidth="1"/>
    <col min="2" max="2" width="16.7109375" customWidth="1"/>
    <col min="3" max="3" width="18.7109375" customWidth="1"/>
    <col min="4" max="4" width="16.7109375" customWidth="1"/>
    <col min="5" max="5" width="20.7109375" customWidth="1"/>
    <col min="6" max="6" width="32.7109375" customWidth="1"/>
    <col min="7" max="7" width="42.7109375" customWidth="1"/>
  </cols>
  <sheetData>
    <row r="1" spans="1:7">
      <c r="A1" s="1" t="s">
        <v>224</v>
      </c>
    </row>
    <row r="2" spans="1:7">
      <c r="A2" s="2" t="s">
        <v>225</v>
      </c>
    </row>
    <row r="4" spans="1:7" ht="26" customHeight="1">
      <c r="A4" s="5" t="s">
        <v>226</v>
      </c>
      <c r="B4" s="5" t="s">
        <v>227</v>
      </c>
      <c r="C4" s="5" t="s">
        <v>228</v>
      </c>
      <c r="D4" s="5" t="s">
        <v>229</v>
      </c>
      <c r="E4" s="5" t="s">
        <v>230</v>
      </c>
      <c r="F4" s="5" t="s">
        <v>231</v>
      </c>
      <c r="G4" s="5" t="s">
        <v>232</v>
      </c>
    </row>
    <row r="5" spans="1:7" ht="30" customHeight="1">
      <c r="A5" s="7" t="s">
        <v>233</v>
      </c>
      <c r="B5" s="9" t="s">
        <v>46</v>
      </c>
      <c r="C5" s="9" t="s">
        <v>46</v>
      </c>
      <c r="D5" s="9" t="s">
        <v>46</v>
      </c>
      <c r="E5" s="7" t="s">
        <v>234</v>
      </c>
      <c r="F5" s="8" t="s">
        <v>235</v>
      </c>
      <c r="G5" s="8" t="s">
        <v>236</v>
      </c>
    </row>
    <row r="6" spans="1:7" ht="30" customHeight="1">
      <c r="A6" s="11" t="s">
        <v>237</v>
      </c>
      <c r="B6" s="13" t="s">
        <v>46</v>
      </c>
      <c r="C6" s="13" t="s">
        <v>46</v>
      </c>
      <c r="D6" s="13" t="s">
        <v>46</v>
      </c>
      <c r="E6" s="11" t="s">
        <v>234</v>
      </c>
      <c r="F6" s="12" t="s">
        <v>238</v>
      </c>
      <c r="G6" s="12" t="s">
        <v>239</v>
      </c>
    </row>
    <row r="7" spans="1:7" ht="30" customHeight="1">
      <c r="A7" s="7" t="s">
        <v>240</v>
      </c>
      <c r="B7" s="9" t="s">
        <v>46</v>
      </c>
      <c r="C7" s="9" t="s">
        <v>46</v>
      </c>
      <c r="D7" s="9" t="s">
        <v>46</v>
      </c>
      <c r="E7" s="7" t="s">
        <v>234</v>
      </c>
      <c r="F7" s="8" t="s">
        <v>241</v>
      </c>
      <c r="G7" s="8" t="s">
        <v>242</v>
      </c>
    </row>
    <row r="8" spans="1:7" ht="30" customHeight="1">
      <c r="A8" s="11" t="s">
        <v>243</v>
      </c>
      <c r="B8" s="13" t="s">
        <v>46</v>
      </c>
      <c r="C8" s="13" t="s">
        <v>46</v>
      </c>
      <c r="D8" s="13" t="s">
        <v>46</v>
      </c>
      <c r="E8" s="11" t="s">
        <v>234</v>
      </c>
      <c r="F8" s="12" t="s">
        <v>244</v>
      </c>
      <c r="G8" s="12" t="s">
        <v>245</v>
      </c>
    </row>
    <row r="9" spans="1:7" ht="30" customHeight="1">
      <c r="A9" s="7" t="s">
        <v>246</v>
      </c>
      <c r="B9" s="9" t="s">
        <v>46</v>
      </c>
      <c r="C9" s="9" t="s">
        <v>46</v>
      </c>
      <c r="D9" s="9" t="s">
        <v>46</v>
      </c>
      <c r="E9" s="7" t="s">
        <v>234</v>
      </c>
      <c r="F9" s="8" t="s">
        <v>247</v>
      </c>
      <c r="G9" s="8" t="s">
        <v>248</v>
      </c>
    </row>
    <row r="10" spans="1:7" ht="30" customHeight="1">
      <c r="A10" s="11" t="s">
        <v>249</v>
      </c>
      <c r="B10" s="13" t="s">
        <v>46</v>
      </c>
      <c r="C10" s="13" t="s">
        <v>46</v>
      </c>
      <c r="D10" s="13" t="s">
        <v>46</v>
      </c>
      <c r="E10" s="11" t="s">
        <v>234</v>
      </c>
      <c r="F10" s="12" t="s">
        <v>250</v>
      </c>
      <c r="G10" s="12" t="s">
        <v>251</v>
      </c>
    </row>
    <row r="11" spans="1:7" ht="30" customHeight="1">
      <c r="A11" s="7" t="s">
        <v>252</v>
      </c>
      <c r="B11" s="9" t="s">
        <v>46</v>
      </c>
      <c r="C11" s="9" t="s">
        <v>46</v>
      </c>
      <c r="D11" s="9" t="s">
        <v>46</v>
      </c>
      <c r="E11" s="7" t="s">
        <v>234</v>
      </c>
      <c r="F11" s="8" t="s">
        <v>253</v>
      </c>
      <c r="G11" s="8" t="s">
        <v>254</v>
      </c>
    </row>
    <row r="12" spans="1:7" ht="30" customHeight="1">
      <c r="A12" s="11" t="s">
        <v>255</v>
      </c>
      <c r="B12" s="13" t="s">
        <v>93</v>
      </c>
      <c r="C12" s="13" t="s">
        <v>93</v>
      </c>
      <c r="D12" s="13" t="s">
        <v>93</v>
      </c>
      <c r="E12" s="11" t="s">
        <v>256</v>
      </c>
      <c r="F12" s="12" t="s">
        <v>257</v>
      </c>
      <c r="G12" s="12" t="s">
        <v>258</v>
      </c>
    </row>
    <row r="13" spans="1:7" ht="30" customHeight="1">
      <c r="A13" s="7" t="s">
        <v>259</v>
      </c>
      <c r="B13" s="9" t="s">
        <v>93</v>
      </c>
      <c r="C13" s="9" t="s">
        <v>93</v>
      </c>
      <c r="D13" s="9" t="s">
        <v>46</v>
      </c>
      <c r="E13" s="7" t="s">
        <v>260</v>
      </c>
      <c r="F13" s="8" t="s">
        <v>261</v>
      </c>
      <c r="G13" s="8" t="s">
        <v>262</v>
      </c>
    </row>
    <row r="14" spans="1:7" ht="30" customHeight="1">
      <c r="A14" s="11" t="s">
        <v>263</v>
      </c>
      <c r="B14" s="13" t="s">
        <v>93</v>
      </c>
      <c r="C14" s="13" t="s">
        <v>93</v>
      </c>
      <c r="D14" s="13" t="s">
        <v>46</v>
      </c>
      <c r="E14" s="11" t="s">
        <v>264</v>
      </c>
      <c r="F14" s="12" t="s">
        <v>265</v>
      </c>
      <c r="G14" s="12" t="s">
        <v>266</v>
      </c>
    </row>
    <row r="15" spans="1:7" ht="30" customHeight="1">
      <c r="A15" s="7" t="s">
        <v>267</v>
      </c>
      <c r="B15" s="9" t="s">
        <v>93</v>
      </c>
      <c r="C15" s="9" t="s">
        <v>93</v>
      </c>
      <c r="D15" s="9" t="s">
        <v>46</v>
      </c>
      <c r="E15" s="7" t="s">
        <v>268</v>
      </c>
      <c r="F15" s="8" t="s">
        <v>269</v>
      </c>
      <c r="G15" s="8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F5597"/>
  </sheetPr>
  <dimension ref="A1:F13"/>
  <sheetViews>
    <sheetView workbookViewId="0"/>
  </sheetViews>
  <sheetFormatPr defaultRowHeight="15"/>
  <cols>
    <col min="1" max="1" width="14.7109375" customWidth="1"/>
    <col min="2" max="2" width="16.7109375" customWidth="1"/>
    <col min="3" max="3" width="50.7109375" customWidth="1"/>
    <col min="4" max="4" width="30.7109375" customWidth="1"/>
    <col min="5" max="5" width="14.7109375" customWidth="1"/>
    <col min="6" max="6" width="20.7109375" customWidth="1"/>
  </cols>
  <sheetData>
    <row r="1" spans="1:6">
      <c r="A1" s="1" t="s">
        <v>271</v>
      </c>
    </row>
    <row r="2" spans="1:6">
      <c r="A2" s="2" t="s">
        <v>272</v>
      </c>
    </row>
    <row r="4" spans="1:6" ht="26" customHeight="1">
      <c r="A4" s="5" t="s">
        <v>273</v>
      </c>
      <c r="B4" s="5" t="s">
        <v>28</v>
      </c>
      <c r="C4" s="5" t="s">
        <v>274</v>
      </c>
      <c r="D4" s="5" t="s">
        <v>275</v>
      </c>
      <c r="E4" s="5" t="s">
        <v>276</v>
      </c>
      <c r="F4" s="5" t="s">
        <v>277</v>
      </c>
    </row>
    <row r="5" spans="1:6" ht="32" customHeight="1">
      <c r="A5" s="7" t="s">
        <v>278</v>
      </c>
      <c r="B5" s="9" t="s">
        <v>279</v>
      </c>
      <c r="C5" s="8" t="s">
        <v>280</v>
      </c>
      <c r="D5" s="8" t="s">
        <v>281</v>
      </c>
      <c r="E5" s="9" t="s">
        <v>282</v>
      </c>
      <c r="F5" s="7" t="s">
        <v>283</v>
      </c>
    </row>
    <row r="6" spans="1:6" ht="32" customHeight="1">
      <c r="A6" s="11" t="s">
        <v>284</v>
      </c>
      <c r="B6" s="13" t="s">
        <v>279</v>
      </c>
      <c r="C6" s="12" t="s">
        <v>285</v>
      </c>
      <c r="D6" s="12" t="s">
        <v>286</v>
      </c>
      <c r="E6" s="13" t="s">
        <v>282</v>
      </c>
      <c r="F6" s="11" t="s">
        <v>187</v>
      </c>
    </row>
    <row r="7" spans="1:6" ht="32" customHeight="1">
      <c r="A7" s="7" t="s">
        <v>287</v>
      </c>
      <c r="B7" s="9" t="s">
        <v>279</v>
      </c>
      <c r="C7" s="8" t="s">
        <v>288</v>
      </c>
      <c r="D7" s="8" t="s">
        <v>289</v>
      </c>
      <c r="E7" s="9" t="s">
        <v>282</v>
      </c>
      <c r="F7" s="7" t="s">
        <v>77</v>
      </c>
    </row>
    <row r="8" spans="1:6" ht="32" customHeight="1">
      <c r="A8" s="11" t="s">
        <v>290</v>
      </c>
      <c r="B8" s="13" t="s">
        <v>291</v>
      </c>
      <c r="C8" s="12" t="s">
        <v>292</v>
      </c>
      <c r="D8" s="12" t="s">
        <v>293</v>
      </c>
      <c r="E8" s="13" t="s">
        <v>282</v>
      </c>
      <c r="F8" s="11" t="s">
        <v>52</v>
      </c>
    </row>
    <row r="9" spans="1:6" ht="32" customHeight="1">
      <c r="A9" s="7" t="s">
        <v>294</v>
      </c>
      <c r="B9" s="9" t="s">
        <v>291</v>
      </c>
      <c r="C9" s="8" t="s">
        <v>295</v>
      </c>
      <c r="D9" s="8" t="s">
        <v>296</v>
      </c>
      <c r="E9" s="9" t="s">
        <v>282</v>
      </c>
      <c r="F9" s="7" t="s">
        <v>297</v>
      </c>
    </row>
    <row r="10" spans="1:6" ht="32" customHeight="1">
      <c r="A10" s="11" t="s">
        <v>298</v>
      </c>
      <c r="B10" s="13" t="s">
        <v>291</v>
      </c>
      <c r="C10" s="12" t="s">
        <v>299</v>
      </c>
      <c r="D10" s="12" t="s">
        <v>300</v>
      </c>
      <c r="E10" s="13" t="s">
        <v>282</v>
      </c>
      <c r="F10" s="11" t="s">
        <v>82</v>
      </c>
    </row>
    <row r="11" spans="1:6" ht="32" customHeight="1">
      <c r="A11" s="7" t="s">
        <v>301</v>
      </c>
      <c r="B11" s="9" t="s">
        <v>302</v>
      </c>
      <c r="C11" s="8" t="s">
        <v>303</v>
      </c>
      <c r="D11" s="8" t="s">
        <v>304</v>
      </c>
      <c r="E11" s="9" t="s">
        <v>282</v>
      </c>
      <c r="F11" s="7" t="s">
        <v>305</v>
      </c>
    </row>
    <row r="12" spans="1:6" ht="32" customHeight="1">
      <c r="A12" s="11" t="s">
        <v>306</v>
      </c>
      <c r="B12" s="13" t="s">
        <v>302</v>
      </c>
      <c r="C12" s="12" t="s">
        <v>307</v>
      </c>
      <c r="D12" s="12" t="s">
        <v>308</v>
      </c>
      <c r="E12" s="13" t="s">
        <v>282</v>
      </c>
      <c r="F12" s="11" t="s">
        <v>309</v>
      </c>
    </row>
    <row r="13" spans="1:6" ht="32" customHeight="1">
      <c r="A13" s="7" t="s">
        <v>310</v>
      </c>
      <c r="B13" s="9" t="s">
        <v>302</v>
      </c>
      <c r="C13" s="8" t="s">
        <v>311</v>
      </c>
      <c r="D13" s="8" t="s">
        <v>312</v>
      </c>
      <c r="E13" s="9" t="s">
        <v>282</v>
      </c>
      <c r="F13" s="7" t="s">
        <v>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F5597"/>
  </sheetPr>
  <dimension ref="A1:E11"/>
  <sheetViews>
    <sheetView workbookViewId="0"/>
  </sheetViews>
  <sheetFormatPr defaultRowHeight="15"/>
  <cols>
    <col min="1" max="1" width="24.7109375" customWidth="1"/>
    <col min="2" max="2" width="46.7109375" customWidth="1"/>
    <col min="3" max="3" width="38.7109375" customWidth="1"/>
    <col min="4" max="4" width="28.7109375" customWidth="1"/>
    <col min="5" max="5" width="14.7109375" customWidth="1"/>
  </cols>
  <sheetData>
    <row r="1" spans="1:5">
      <c r="A1" s="1" t="s">
        <v>314</v>
      </c>
    </row>
    <row r="2" spans="1:5">
      <c r="A2" s="2" t="s">
        <v>315</v>
      </c>
    </row>
    <row r="4" spans="1:5" ht="26" customHeight="1">
      <c r="A4" s="5" t="s">
        <v>316</v>
      </c>
      <c r="B4" s="5" t="s">
        <v>317</v>
      </c>
      <c r="C4" s="5" t="s">
        <v>318</v>
      </c>
      <c r="D4" s="5" t="s">
        <v>319</v>
      </c>
      <c r="E4" s="5" t="s">
        <v>320</v>
      </c>
    </row>
    <row r="5" spans="1:5" ht="32" customHeight="1">
      <c r="A5" s="7" t="s">
        <v>321</v>
      </c>
      <c r="B5" s="8" t="s">
        <v>322</v>
      </c>
      <c r="C5" s="8" t="s">
        <v>323</v>
      </c>
      <c r="D5" s="8" t="s">
        <v>324</v>
      </c>
      <c r="E5" s="7" t="s">
        <v>46</v>
      </c>
    </row>
    <row r="6" spans="1:5" ht="32" customHeight="1">
      <c r="A6" s="11" t="s">
        <v>325</v>
      </c>
      <c r="B6" s="12" t="s">
        <v>326</v>
      </c>
      <c r="C6" s="12" t="s">
        <v>327</v>
      </c>
      <c r="D6" s="12" t="s">
        <v>328</v>
      </c>
      <c r="E6" s="11" t="s">
        <v>93</v>
      </c>
    </row>
    <row r="7" spans="1:5" ht="32" customHeight="1">
      <c r="A7" s="7" t="s">
        <v>329</v>
      </c>
      <c r="B7" s="8" t="s">
        <v>330</v>
      </c>
      <c r="C7" s="8" t="s">
        <v>331</v>
      </c>
      <c r="D7" s="8" t="s">
        <v>332</v>
      </c>
      <c r="E7" s="7" t="s">
        <v>93</v>
      </c>
    </row>
    <row r="8" spans="1:5" ht="32" customHeight="1">
      <c r="A8" s="11" t="s">
        <v>333</v>
      </c>
      <c r="B8" s="12" t="s">
        <v>334</v>
      </c>
      <c r="C8" s="12" t="s">
        <v>335</v>
      </c>
      <c r="D8" s="12" t="s">
        <v>336</v>
      </c>
      <c r="E8" s="11" t="s">
        <v>46</v>
      </c>
    </row>
    <row r="9" spans="1:5" ht="32" customHeight="1">
      <c r="A9" s="7" t="s">
        <v>337</v>
      </c>
      <c r="B9" s="8" t="s">
        <v>338</v>
      </c>
      <c r="C9" s="8" t="s">
        <v>339</v>
      </c>
      <c r="D9" s="8" t="s">
        <v>340</v>
      </c>
      <c r="E9" s="7" t="s">
        <v>46</v>
      </c>
    </row>
    <row r="10" spans="1:5" ht="32" customHeight="1">
      <c r="A10" s="11" t="s">
        <v>341</v>
      </c>
      <c r="B10" s="12" t="s">
        <v>342</v>
      </c>
      <c r="C10" s="12" t="s">
        <v>343</v>
      </c>
      <c r="D10" s="12" t="s">
        <v>344</v>
      </c>
      <c r="E10" s="11" t="s">
        <v>93</v>
      </c>
    </row>
    <row r="11" spans="1:5" ht="32" customHeight="1">
      <c r="A11" s="7" t="s">
        <v>345</v>
      </c>
      <c r="B11" s="8" t="s">
        <v>346</v>
      </c>
      <c r="C11" s="8" t="s">
        <v>347</v>
      </c>
      <c r="D11" s="8" t="s">
        <v>348</v>
      </c>
      <c r="E11" s="7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F5597"/>
  </sheetPr>
  <dimension ref="A1:G24"/>
  <sheetViews>
    <sheetView workbookViewId="0"/>
  </sheetViews>
  <sheetFormatPr defaultRowHeight="15"/>
  <cols>
    <col min="1" max="3" width="12.7109375" customWidth="1"/>
    <col min="4" max="4" width="38.7109375" customWidth="1"/>
    <col min="5" max="5" width="28.7109375" customWidth="1"/>
    <col min="6" max="6" width="34.7109375" customWidth="1"/>
    <col min="7" max="7" width="16.7109375" customWidth="1"/>
  </cols>
  <sheetData>
    <row r="1" spans="1:7">
      <c r="A1" s="1" t="s">
        <v>349</v>
      </c>
    </row>
    <row r="2" spans="1:7">
      <c r="A2" s="2" t="s">
        <v>350</v>
      </c>
    </row>
    <row r="4" spans="1:7" ht="26" customHeight="1">
      <c r="A4" s="5" t="s">
        <v>351</v>
      </c>
      <c r="B4" s="5" t="s">
        <v>352</v>
      </c>
      <c r="C4" s="5" t="s">
        <v>353</v>
      </c>
      <c r="D4" s="5" t="s">
        <v>354</v>
      </c>
      <c r="E4" s="5" t="s">
        <v>355</v>
      </c>
      <c r="F4" s="5" t="s">
        <v>356</v>
      </c>
      <c r="G4" s="5" t="s">
        <v>357</v>
      </c>
    </row>
    <row r="5" spans="1:7" ht="30" customHeight="1">
      <c r="A5" s="7">
        <v>1</v>
      </c>
      <c r="B5" s="9" t="s">
        <v>358</v>
      </c>
      <c r="C5" s="9" t="s">
        <v>359</v>
      </c>
      <c r="D5" s="8" t="s">
        <v>360</v>
      </c>
      <c r="E5" s="7" t="s">
        <v>361</v>
      </c>
      <c r="F5" s="8" t="s">
        <v>362</v>
      </c>
      <c r="G5" s="14">
        <v>48</v>
      </c>
    </row>
    <row r="6" spans="1:7" ht="30" customHeight="1">
      <c r="A6" s="11">
        <v>2</v>
      </c>
      <c r="B6" s="13" t="s">
        <v>363</v>
      </c>
      <c r="C6" s="13" t="s">
        <v>364</v>
      </c>
      <c r="D6" s="12" t="s">
        <v>365</v>
      </c>
      <c r="E6" s="11" t="s">
        <v>366</v>
      </c>
      <c r="F6" s="12" t="s">
        <v>367</v>
      </c>
      <c r="G6" s="15">
        <v>48</v>
      </c>
    </row>
    <row r="7" spans="1:7" ht="30" customHeight="1">
      <c r="A7" s="7">
        <v>3</v>
      </c>
      <c r="B7" s="9" t="s">
        <v>368</v>
      </c>
      <c r="C7" s="9" t="s">
        <v>369</v>
      </c>
      <c r="D7" s="8" t="s">
        <v>370</v>
      </c>
      <c r="E7" s="7" t="s">
        <v>371</v>
      </c>
      <c r="F7" s="8" t="s">
        <v>372</v>
      </c>
      <c r="G7" s="14">
        <v>48</v>
      </c>
    </row>
    <row r="8" spans="1:7" ht="30" customHeight="1">
      <c r="A8" s="11">
        <v>4</v>
      </c>
      <c r="B8" s="13" t="s">
        <v>373</v>
      </c>
      <c r="C8" s="13" t="s">
        <v>374</v>
      </c>
      <c r="D8" s="12" t="s">
        <v>375</v>
      </c>
      <c r="E8" s="11" t="s">
        <v>376</v>
      </c>
      <c r="F8" s="12" t="s">
        <v>377</v>
      </c>
      <c r="G8" s="15">
        <v>48</v>
      </c>
    </row>
    <row r="10" spans="1:7">
      <c r="A10" s="1" t="s">
        <v>378</v>
      </c>
    </row>
    <row r="11" spans="1:7" ht="22" customHeight="1">
      <c r="A11" s="3" t="s">
        <v>379</v>
      </c>
      <c r="B11" s="4">
        <v>1</v>
      </c>
      <c r="C11" s="16" t="s">
        <v>380</v>
      </c>
    </row>
    <row r="12" spans="1:7" ht="22" customHeight="1">
      <c r="A12" s="3" t="s">
        <v>381</v>
      </c>
      <c r="B12" s="4">
        <v>12</v>
      </c>
      <c r="C12" s="16" t="s">
        <v>382</v>
      </c>
    </row>
    <row r="13" spans="1:7" ht="22" customHeight="1">
      <c r="A13" s="3" t="s">
        <v>383</v>
      </c>
      <c r="B13" s="4">
        <v>16</v>
      </c>
      <c r="C13" s="16" t="s">
        <v>384</v>
      </c>
    </row>
    <row r="14" spans="1:7" ht="22" customHeight="1">
      <c r="A14" s="3" t="s">
        <v>385</v>
      </c>
      <c r="B14" s="17">
        <f>B11*B12*B13</f>
        <v>0</v>
      </c>
      <c r="C14" s="16" t="s">
        <v>386</v>
      </c>
    </row>
    <row r="15" spans="1:7" ht="22" customHeight="1">
      <c r="A15" s="3" t="s">
        <v>387</v>
      </c>
      <c r="B15" s="4">
        <v>0</v>
      </c>
      <c r="C15" s="16" t="s">
        <v>388</v>
      </c>
    </row>
    <row r="16" spans="1:7" ht="22" customHeight="1">
      <c r="A16" s="3" t="s">
        <v>389</v>
      </c>
      <c r="B16" s="17">
        <f>B14-B15</f>
        <v>0</v>
      </c>
      <c r="C16" s="16" t="s">
        <v>390</v>
      </c>
    </row>
    <row r="17" spans="1:3" ht="22" customHeight="1">
      <c r="A17" s="3" t="s">
        <v>391</v>
      </c>
      <c r="B17" s="17">
        <f>SUM(G5:G8)</f>
        <v>0</v>
      </c>
      <c r="C17" s="16" t="s">
        <v>392</v>
      </c>
    </row>
    <row r="18" spans="1:3" ht="22" customHeight="1">
      <c r="A18" s="3" t="s">
        <v>393</v>
      </c>
      <c r="B18" s="17">
        <f>B16-B17</f>
        <v>0</v>
      </c>
      <c r="C18" s="16" t="s">
        <v>394</v>
      </c>
    </row>
    <row r="20" spans="1:3">
      <c r="A20" s="1" t="s">
        <v>395</v>
      </c>
    </row>
    <row r="22" spans="1:3" ht="26" customHeight="1">
      <c r="A22" s="3" t="s">
        <v>396</v>
      </c>
      <c r="B22" s="4" t="s">
        <v>397</v>
      </c>
    </row>
    <row r="23" spans="1:3" ht="26" customHeight="1">
      <c r="A23" s="3" t="s">
        <v>398</v>
      </c>
      <c r="B23" s="4" t="s">
        <v>399</v>
      </c>
    </row>
    <row r="24" spans="1:3" ht="26" customHeight="1">
      <c r="A24" s="3" t="s">
        <v>400</v>
      </c>
      <c r="B24" s="4" t="s">
        <v>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F5597"/>
  </sheetPr>
  <dimension ref="A1:G17"/>
  <sheetViews>
    <sheetView workbookViewId="0"/>
  </sheetViews>
  <sheetFormatPr defaultRowHeight="15"/>
  <cols>
    <col min="1" max="1" width="18.7109375" customWidth="1"/>
    <col min="2" max="2" width="38.7109375" customWidth="1"/>
    <col min="3" max="4" width="12.7109375" customWidth="1"/>
    <col min="5" max="6" width="16.7109375" customWidth="1"/>
    <col min="7" max="7" width="46.7109375" customWidth="1"/>
  </cols>
  <sheetData>
    <row r="1" spans="1:7">
      <c r="A1" s="1" t="s">
        <v>402</v>
      </c>
    </row>
    <row r="2" spans="1:7">
      <c r="A2" s="2" t="s">
        <v>403</v>
      </c>
    </row>
    <row r="4" spans="1:7" ht="26" customHeight="1">
      <c r="A4" s="5" t="s">
        <v>404</v>
      </c>
      <c r="B4" s="5" t="s">
        <v>405</v>
      </c>
      <c r="C4" s="5" t="s">
        <v>406</v>
      </c>
      <c r="D4" s="5" t="s">
        <v>407</v>
      </c>
      <c r="E4" s="5" t="s">
        <v>408</v>
      </c>
      <c r="F4" s="6" t="s">
        <v>409</v>
      </c>
      <c r="G4" s="5" t="s">
        <v>410</v>
      </c>
    </row>
    <row r="5" spans="1:7" ht="28" customHeight="1">
      <c r="A5" s="7" t="s">
        <v>411</v>
      </c>
      <c r="B5" s="8" t="s">
        <v>412</v>
      </c>
      <c r="C5" s="9">
        <v>96</v>
      </c>
      <c r="D5" s="9" t="s">
        <v>413</v>
      </c>
      <c r="E5" s="18">
        <v>23360</v>
      </c>
      <c r="F5" s="18">
        <f>C5*E5</f>
        <v>0</v>
      </c>
      <c r="G5" s="8" t="s">
        <v>414</v>
      </c>
    </row>
    <row r="6" spans="1:7" ht="28" customHeight="1">
      <c r="A6" s="11" t="s">
        <v>411</v>
      </c>
      <c r="B6" s="12" t="s">
        <v>415</v>
      </c>
      <c r="C6" s="13">
        <v>56</v>
      </c>
      <c r="D6" s="13" t="s">
        <v>413</v>
      </c>
      <c r="E6" s="19">
        <v>20500</v>
      </c>
      <c r="F6" s="19">
        <f>C6*E6</f>
        <v>0</v>
      </c>
      <c r="G6" s="12" t="s">
        <v>416</v>
      </c>
    </row>
    <row r="7" spans="1:7" ht="28" customHeight="1">
      <c r="A7" s="7" t="s">
        <v>411</v>
      </c>
      <c r="B7" s="8" t="s">
        <v>417</v>
      </c>
      <c r="C7" s="9">
        <v>40</v>
      </c>
      <c r="D7" s="9" t="s">
        <v>413</v>
      </c>
      <c r="E7" s="18">
        <v>18800</v>
      </c>
      <c r="F7" s="18">
        <f>C7*E7</f>
        <v>0</v>
      </c>
      <c r="G7" s="8" t="s">
        <v>418</v>
      </c>
    </row>
    <row r="8" spans="1:7" ht="28" customHeight="1">
      <c r="A8" s="11" t="s">
        <v>419</v>
      </c>
      <c r="B8" s="12" t="s">
        <v>420</v>
      </c>
      <c r="C8" s="13">
        <v>1</v>
      </c>
      <c r="D8" s="13" t="s">
        <v>421</v>
      </c>
      <c r="E8" s="19">
        <v>0</v>
      </c>
      <c r="F8" s="19">
        <f>C8*E8</f>
        <v>0</v>
      </c>
      <c r="G8" s="12" t="s">
        <v>422</v>
      </c>
    </row>
    <row r="9" spans="1:7" ht="28" customHeight="1">
      <c r="A9" s="7" t="s">
        <v>419</v>
      </c>
      <c r="B9" s="8" t="s">
        <v>423</v>
      </c>
      <c r="C9" s="9">
        <v>1</v>
      </c>
      <c r="D9" s="9" t="s">
        <v>424</v>
      </c>
      <c r="E9" s="18">
        <v>0</v>
      </c>
      <c r="F9" s="18">
        <f>C9*E9</f>
        <v>0</v>
      </c>
      <c r="G9" s="8" t="s">
        <v>425</v>
      </c>
    </row>
    <row r="10" spans="1:7" ht="28" customHeight="1">
      <c r="A10" s="11" t="s">
        <v>426</v>
      </c>
      <c r="B10" s="12" t="s">
        <v>427</v>
      </c>
      <c r="C10" s="13">
        <v>1</v>
      </c>
      <c r="D10" s="13" t="s">
        <v>428</v>
      </c>
      <c r="E10" s="19">
        <v>120000</v>
      </c>
      <c r="F10" s="19">
        <f>C10*E10</f>
        <v>0</v>
      </c>
      <c r="G10" s="12" t="s">
        <v>429</v>
      </c>
    </row>
    <row r="11" spans="1:7" ht="28" customHeight="1">
      <c r="A11" s="7" t="s">
        <v>426</v>
      </c>
      <c r="B11" s="8" t="s">
        <v>430</v>
      </c>
      <c r="C11" s="9">
        <v>3</v>
      </c>
      <c r="D11" s="9" t="s">
        <v>431</v>
      </c>
      <c r="E11" s="18">
        <v>40000</v>
      </c>
      <c r="F11" s="18">
        <f>C11*E11</f>
        <v>0</v>
      </c>
      <c r="G11" s="8" t="s">
        <v>432</v>
      </c>
    </row>
    <row r="12" spans="1:7" ht="28" customHeight="1">
      <c r="A12" s="11" t="s">
        <v>433</v>
      </c>
      <c r="B12" s="12" t="s">
        <v>434</v>
      </c>
      <c r="C12" s="13">
        <v>12</v>
      </c>
      <c r="D12" s="13" t="s">
        <v>435</v>
      </c>
      <c r="E12" s="19">
        <v>10400</v>
      </c>
      <c r="F12" s="19">
        <f>C12*E12</f>
        <v>0</v>
      </c>
      <c r="G12" s="12" t="s">
        <v>436</v>
      </c>
    </row>
    <row r="13" spans="1:7" ht="28" customHeight="1">
      <c r="A13" s="7" t="s">
        <v>433</v>
      </c>
      <c r="B13" s="8" t="s">
        <v>437</v>
      </c>
      <c r="C13" s="9">
        <v>12</v>
      </c>
      <c r="D13" s="9" t="s">
        <v>435</v>
      </c>
      <c r="E13" s="18">
        <v>1300</v>
      </c>
      <c r="F13" s="18">
        <f>C13*E13</f>
        <v>0</v>
      </c>
      <c r="G13" s="8" t="s">
        <v>438</v>
      </c>
    </row>
    <row r="14" spans="1:7" ht="28" customHeight="1">
      <c r="A14" s="11" t="s">
        <v>439</v>
      </c>
      <c r="B14" s="12" t="s">
        <v>440</v>
      </c>
      <c r="C14" s="13">
        <v>12</v>
      </c>
      <c r="D14" s="13" t="s">
        <v>435</v>
      </c>
      <c r="E14" s="19">
        <v>20000</v>
      </c>
      <c r="F14" s="19">
        <f>C14*E14</f>
        <v>0</v>
      </c>
      <c r="G14" s="12" t="s">
        <v>441</v>
      </c>
    </row>
    <row r="15" spans="1:7">
      <c r="E15" s="20" t="s">
        <v>442</v>
      </c>
      <c r="F15" s="21">
        <f>SUM(F5:F14)</f>
        <v>0</v>
      </c>
    </row>
    <row r="16" spans="1:7">
      <c r="E16" s="20" t="s">
        <v>443</v>
      </c>
      <c r="F16" s="22">
        <f>SUM(C5:C7)</f>
        <v>0</v>
      </c>
    </row>
    <row r="17" spans="5:6">
      <c r="E17" s="20" t="s">
        <v>444</v>
      </c>
      <c r="F17" s="10" t="str">
        <f>IF(F16=Iteraciones!B16,"Coherente (192 h = 192 h)","REVISAR")</f>
        <v>Coherente (192 h = 192 h)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0AD47"/>
  </sheetPr>
  <dimension ref="A1:C23"/>
  <sheetViews>
    <sheetView workbookViewId="0"/>
  </sheetViews>
  <sheetFormatPr defaultRowHeight="15"/>
  <cols>
    <col min="1" max="1" width="38.7109375" customWidth="1"/>
    <col min="2" max="2" width="24.7109375" customWidth="1"/>
    <col min="3" max="3" width="60.7109375" customWidth="1"/>
  </cols>
  <sheetData>
    <row r="1" spans="1:3">
      <c r="A1" s="1" t="s">
        <v>445</v>
      </c>
    </row>
    <row r="2" spans="1:3">
      <c r="A2" s="2" t="s">
        <v>446</v>
      </c>
    </row>
    <row r="4" spans="1:3" ht="26" customHeight="1">
      <c r="A4" s="5" t="s">
        <v>447</v>
      </c>
      <c r="B4" s="6" t="s">
        <v>448</v>
      </c>
      <c r="C4" s="5" t="s">
        <v>449</v>
      </c>
    </row>
    <row r="5" spans="1:3" ht="24" customHeight="1">
      <c r="A5" s="8" t="s">
        <v>450</v>
      </c>
      <c r="B5" s="17">
        <f>COUNTA('Catálogo'!A5:A24)</f>
        <v>20</v>
      </c>
      <c r="C5" s="8" t="s">
        <v>451</v>
      </c>
    </row>
    <row r="6" spans="1:3" ht="24" customHeight="1">
      <c r="A6" s="12" t="s">
        <v>452</v>
      </c>
      <c r="B6" s="17">
        <f>COUNTIF('Catálogo'!G5:G24, "&lt;&gt;")</f>
        <v>20</v>
      </c>
      <c r="C6" s="12" t="s">
        <v>453</v>
      </c>
    </row>
    <row r="7" spans="1:3" ht="24" customHeight="1">
      <c r="A7" s="8" t="s">
        <v>454</v>
      </c>
      <c r="B7" s="17">
        <f>COUNTIF('Catálogo'!H5:H24, "&lt;&gt;")</f>
        <v>20</v>
      </c>
      <c r="C7" s="8" t="s">
        <v>455</v>
      </c>
    </row>
    <row r="8" spans="1:3" ht="24" customHeight="1">
      <c r="A8" s="12" t="s">
        <v>456</v>
      </c>
      <c r="B8" s="17">
        <f>COUNTIF('Catálogo'!C5:C24, "No funcional")</f>
        <v>7</v>
      </c>
      <c r="C8" s="12" t="s">
        <v>457</v>
      </c>
    </row>
    <row r="9" spans="1:3" ht="24" customHeight="1">
      <c r="A9" s="8" t="s">
        <v>458</v>
      </c>
      <c r="B9" s="10">
        <f>COUNTIFS('Catálogo'!C5:C24, "No funcional", 'Catálogo'!D5:D24, "")</f>
        <v>0</v>
      </c>
      <c r="C9" s="8" t="s">
        <v>459</v>
      </c>
    </row>
    <row r="10" spans="1:3" ht="24" customHeight="1">
      <c r="A10" s="12" t="s">
        <v>460</v>
      </c>
      <c r="B10" s="17">
        <f>COUNTIF('Catálogo'!E5:E24, "Must")</f>
        <v>14</v>
      </c>
      <c r="C10" s="12" t="s">
        <v>461</v>
      </c>
    </row>
    <row r="11" spans="1:3" ht="24" customHeight="1">
      <c r="A11" s="8" t="s">
        <v>462</v>
      </c>
      <c r="B11" s="17">
        <f>COUNTIF('Catálogo'!K5:K24, "Sí")</f>
        <v>14</v>
      </c>
      <c r="C11" s="8" t="s">
        <v>463</v>
      </c>
    </row>
    <row r="12" spans="1:3" ht="24" customHeight="1">
      <c r="A12" s="12" t="s">
        <v>464</v>
      </c>
      <c r="B12" s="10" t="str">
        <f>IF(B10=B11, "Coherente", "REVISAR")</f>
        <v>Coherente</v>
      </c>
      <c r="C12" s="12" t="s">
        <v>465</v>
      </c>
    </row>
    <row r="13" spans="1:3" ht="24" customHeight="1">
      <c r="A13" s="8" t="s">
        <v>466</v>
      </c>
      <c r="B13" s="17">
        <f>COUNTIF('Catálogo'!I5:I24, "Validado")</f>
        <v>20</v>
      </c>
      <c r="C13" s="8" t="s">
        <v>467</v>
      </c>
    </row>
    <row r="14" spans="1:3" ht="24" customHeight="1">
      <c r="A14" s="12" t="s">
        <v>468</v>
      </c>
      <c r="B14" s="10">
        <f>COUNTIF('Catálogo'!L5:L24, "Incompleto")</f>
        <v>0</v>
      </c>
      <c r="C14" s="12" t="s">
        <v>469</v>
      </c>
    </row>
    <row r="15" spans="1:3" ht="24" customHeight="1">
      <c r="A15" s="8" t="s">
        <v>470</v>
      </c>
      <c r="B15" s="17">
        <f>COUNTA('Trazabilidad'!A5:A23)</f>
        <v>19</v>
      </c>
      <c r="C15" s="8" t="s">
        <v>471</v>
      </c>
    </row>
    <row r="16" spans="1:3" ht="24" customHeight="1">
      <c r="A16" s="12" t="s">
        <v>472</v>
      </c>
      <c r="B16" s="10">
        <f>COUNTIFS('Trazabilidad'!D5:D23, "", 'Trazabilidad'!E5:E23, "")</f>
        <v>0</v>
      </c>
      <c r="C16" s="12" t="s">
        <v>473</v>
      </c>
    </row>
    <row r="17" spans="1:3" ht="24" customHeight="1">
      <c r="A17" s="8" t="s">
        <v>474</v>
      </c>
      <c r="B17" s="17">
        <f>COUNTIF('Entidades'!E5:E15, "Entidad*")</f>
        <v>7</v>
      </c>
      <c r="C17" s="8" t="s">
        <v>475</v>
      </c>
    </row>
    <row r="18" spans="1:3" ht="24" customHeight="1">
      <c r="A18" s="12" t="s">
        <v>476</v>
      </c>
      <c r="B18" s="17">
        <f>COUNTA('Entidades'!E5:E15)-B17</f>
        <v>4</v>
      </c>
      <c r="C18" s="12" t="s">
        <v>477</v>
      </c>
    </row>
    <row r="19" spans="1:3" ht="24" customHeight="1">
      <c r="A19" s="8" t="s">
        <v>478</v>
      </c>
      <c r="B19" s="17">
        <f>COUNTA('Reglas'!A5:A13)</f>
        <v>9</v>
      </c>
      <c r="C19" s="8" t="s">
        <v>479</v>
      </c>
    </row>
    <row r="20" spans="1:3" ht="24" customHeight="1">
      <c r="A20" s="12" t="s">
        <v>480</v>
      </c>
      <c r="B20" s="10">
        <f>COUNTIF('Reglas'!E5:E13, "Pendiente*")</f>
        <v>0</v>
      </c>
      <c r="C20" s="12" t="s">
        <v>481</v>
      </c>
    </row>
    <row r="21" spans="1:3" ht="24" customHeight="1">
      <c r="A21" s="8" t="s">
        <v>482</v>
      </c>
      <c r="B21" s="17">
        <f>COUNTIF('Glosario'!E5:E11, "Sí")</f>
        <v>3</v>
      </c>
      <c r="C21" s="8" t="s">
        <v>483</v>
      </c>
    </row>
    <row r="22" spans="1:3" ht="24" customHeight="1">
      <c r="A22" s="12" t="s">
        <v>484</v>
      </c>
      <c r="B22" s="17">
        <f>'Iteraciones'!B17</f>
        <v>192</v>
      </c>
      <c r="C22" s="12" t="s">
        <v>485</v>
      </c>
    </row>
    <row r="23" spans="1:3" ht="24" customHeight="1">
      <c r="A23" s="8" t="s">
        <v>486</v>
      </c>
      <c r="B23" s="10" t="str">
        <f>IF('Recursos'!F16='Iteraciones'!B16, "Coherente", "REVISAR")</f>
        <v>Coherente</v>
      </c>
      <c r="C23" s="8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Instrucciones</vt:lpstr>
      <vt:lpstr>Catálogo</vt:lpstr>
      <vt:lpstr>Trazabilidad</vt:lpstr>
      <vt:lpstr>Entidades</vt:lpstr>
      <vt:lpstr>Reglas</vt:lpstr>
      <vt:lpstr>Glosario</vt:lpstr>
      <vt:lpstr>Iteraciones</vt:lpstr>
      <vt:lpstr>Recursos</vt:lpstr>
      <vt:lpstr>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2026-10-01T23:23:15Z</dcterms:created>
  <dcterms:modified xsi:type="dcterms:W3CDTF">2026-10-01T23:23:15Z</dcterms:modified>
</cp:coreProperties>
</file>