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c7050e6095d21e4/Escritorio/Tesis/AE3/"/>
    </mc:Choice>
  </mc:AlternateContent>
  <xr:revisionPtr revIDLastSave="0" documentId="11_DAE1400C85B23D9D3639940195A0D0A0581EE32C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strucciones" sheetId="1" r:id="rId1"/>
    <sheet name="Catálogo" sheetId="2" r:id="rId2"/>
    <sheet name="Trazabilidad" sheetId="3" r:id="rId3"/>
    <sheet name="Entidades" sheetId="4" r:id="rId4"/>
    <sheet name="Reglas" sheetId="5" r:id="rId5"/>
    <sheet name="Glosario" sheetId="6" r:id="rId6"/>
    <sheet name="Iteraciones" sheetId="7" r:id="rId7"/>
    <sheet name="Recursos" sheetId="8" r:id="rId8"/>
    <sheet name="Panel" sheetId="9" r:id="rId9"/>
    <sheet name="Equivalencia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9" l="1"/>
  <c r="B20" i="9"/>
  <c r="B19" i="9"/>
  <c r="B18" i="9"/>
  <c r="B17" i="9"/>
  <c r="B15" i="9"/>
  <c r="B13" i="9"/>
  <c r="B12" i="9"/>
  <c r="B11" i="9"/>
  <c r="B10" i="9"/>
  <c r="B9" i="9"/>
  <c r="B8" i="9"/>
  <c r="B7" i="9"/>
  <c r="B6" i="9"/>
  <c r="B5" i="9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G60" i="7"/>
  <c r="C7" i="8" s="1"/>
  <c r="F7" i="8" s="1"/>
  <c r="F60" i="7"/>
  <c r="C6" i="8" s="1"/>
  <c r="F6" i="8" s="1"/>
  <c r="E60" i="7"/>
  <c r="C5" i="8" s="1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B19" i="7"/>
  <c r="B21" i="7" s="1"/>
  <c r="G8" i="7"/>
  <c r="G7" i="7"/>
  <c r="G6" i="7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H60" i="7" l="1"/>
  <c r="G5" i="7"/>
  <c r="B16" i="9"/>
  <c r="B14" i="9"/>
  <c r="F5" i="8"/>
  <c r="F36" i="8" s="1"/>
  <c r="F37" i="8"/>
  <c r="F38" i="8" s="1"/>
  <c r="B23" i="9" s="1"/>
  <c r="B22" i="9" l="1"/>
  <c r="B22" i="7"/>
  <c r="B2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4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El conjunto de los requisitos «Must» debe coincidir exactamente con el producto mínimo viable descrito en el apartado V.5.</t>
        </r>
      </text>
    </comment>
    <comment ref="G4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Condición inicial, acción y resultado observable con valores. Un adjetivo no es un criterio de aceptación.</t>
        </r>
      </text>
    </comment>
  </commentList>
</comments>
</file>

<file path=xl/sharedStrings.xml><?xml version="1.0" encoding="utf-8"?>
<sst xmlns="http://schemas.openxmlformats.org/spreadsheetml/2006/main" count="959" uniqueCount="658">
  <si>
    <t>Libro de trabajo de la AE2 · Proyecto Final de Grado 2026</t>
  </si>
  <si>
    <t>Universidad de la Cuenca del Plata · Ingeniería en Sistemas de Información · Comisión A · Sede Posadas · Docente Titular: PosDr. Darío Ezequiel Díaz · ISI-PFG-2026C2-AE2-v02</t>
  </si>
  <si>
    <t>Para qué sirve este libro</t>
  </si>
  <si>
    <t>Reúne, en un solo archivo versionable, los instrumentos de la Unidad Dos que producen el Capítulo III y alimentan los Capítulos V y X: el catálogo de requisitos, la matriz de trazabilidad, el filtro de entidades, el registro de reglas, el glosario, el plan de iteraciones y el dimensionamiento de recursos. La hoja «Panel» controla sola el estado de completitud y avisa qué falta.</t>
  </si>
  <si>
    <t>Dónde se guarda</t>
  </si>
  <si>
    <t>En el repositorio del equipo, carpeta /03-requisitos, con la nomenclatura de la cátedra: AAAAMMDD_CatalogoRequisitos_Equipo_vN.xlsx. Se versiona cada vez que se cierra un bloque de filas, no una sola vez antes de la entrega.</t>
  </si>
  <si>
    <t>Qué celdas se completan</t>
  </si>
  <si>
    <t>Todas las celdas blancas y grises de cada hoja, a partir de la fila 5. Las filas sombreadas en ocre son ejemplos resueltos sobre el caso conductor «Santa Ana»: se leen, no se copian, y se borran antes de entregar. Las columnas de control, sombreadas en amarillo, contienen fórmulas: no se escriben.</t>
  </si>
  <si>
    <t>Cómo se usan las listas desplegables</t>
  </si>
  <si>
    <t>Las columnas de tipo, prioridad y estado admiten sólo los valores de la lista. Si un valor es rechazado, es porque la categoría no corresponde a la clasificación de la cátedra.</t>
  </si>
  <si>
    <t>Qué mira la corrección</t>
  </si>
  <si>
    <t>Que cada requisito tenga sus seis campos, que su criterio de aceptación sea un procedimiento ejecutable por un tercero, que la trazabilidad cierre en doble vía y que el conjunto de los requisitos «Must» coincida con el producto mínimo viable del apartado V.5.</t>
  </si>
  <si>
    <t>Orden de trabajo sugerido</t>
  </si>
  <si>
    <t>1) Entidades y Reglas, en el taller. 2) Trazabilidad, con los hallazgos de la AE1 codificados H-01, H-02… 3) Catálogo, derivando requisitos de esos hallazgos. 4) Sesión de validación con el referente y actualización de los estados. 5) Iteraciones y Recursos, ya con el catálogo cerrado.</t>
  </si>
  <si>
    <t>Advertencia</t>
  </si>
  <si>
    <t>Ante divergencia entre este libro y la Consigna ISI-PFG-2026C2-AE2-v02, prevalece la consigna. Ante divergencia entre la consigna y la Resolución Rectoral UCP N.º 97/23, prevalece la Resolución.</t>
  </si>
  <si>
    <t>Leyenda de colores</t>
  </si>
  <si>
    <t>Ocre</t>
  </si>
  <si>
    <t>Fila de ejemplo resuelta sobre el caso «Santa Ana». Se borra antes de entregar.</t>
  </si>
  <si>
    <t>Amarillo</t>
  </si>
  <si>
    <t>Celda con fórmula de control. No se escribe.</t>
  </si>
  <si>
    <t>Blanco y gris</t>
  </si>
  <si>
    <t>Celdas que completa el equipo.</t>
  </si>
  <si>
    <t>Versión</t>
  </si>
  <si>
    <t>Versión 3 del 05/10/2026 (borrador de la Ventana de Mejora). La versión 2 es la entregada el 02/10/2026 a las 21:42. Se borraron las filas de ejemplo.</t>
  </si>
  <si>
    <t>Hojas agregadas</t>
  </si>
  <si>
    <t>«Equivalencias» (qué pasó con los códigos de hallazgo de la versión 2) y, en «Iteraciones», la tabla de horas por requisito y perfil, que alimenta las horas asignadas y el Capítulo X.</t>
  </si>
  <si>
    <t>Catálogo de requisitos · apartado III.5 del informe</t>
  </si>
  <si>
    <t>Una fila por requisito, con los seis campos completos. Regla de cómputo: un requisito sin criterio de aceptación comprobable no se computa, por bien redactado que esté. Antes de cerrar una fila, aplique la prueba del compañero: otro integrante debe poder decir, en diez segundos, cómo verificaría el requisito.</t>
  </si>
  <si>
    <t>ID</t>
  </si>
  <si>
    <t>Enunciado</t>
  </si>
  <si>
    <t>Tipo</t>
  </si>
  <si>
    <t>Categoría (si es no funcional)</t>
  </si>
  <si>
    <t>Prioridad</t>
  </si>
  <si>
    <t>Motivo de la prioridad</t>
  </si>
  <si>
    <t>Criterio de aceptación (condición, acción, resultado con valores)</t>
  </si>
  <si>
    <t>Trazabilidad (H-xx o acta)</t>
  </si>
  <si>
    <t>Estado de validación</t>
  </si>
  <si>
    <t>Iteración prevista</t>
  </si>
  <si>
    <t>¿Integra el MVP?</t>
  </si>
  <si>
    <t>Control de completitud</t>
  </si>
  <si>
    <t>RF-01</t>
  </si>
  <si>
    <t>El sistema muestra en una grilla el estado actual de las 13 habitaciones.</t>
  </si>
  <si>
    <t>Funcional</t>
  </si>
  <si>
    <t>Must</t>
  </si>
  <si>
    <t>Sustituye el tablero de madera y los papeles anotadores como única vista del estado de las habitaciones.</t>
  </si>
  <si>
    <t>Condición inicial: la tabla habitaciones tiene 13 filas. Acción: cargar la vista principal en un navegador a 1366 × 768 px. Resultado: se muestran 13 tarjetas, una por fila de la tabla, con el estado en color (Libre = verde, Ocupada = azul, En Limpieza = amarillo, Mantenimiento = gris) y la grilla carga en menos de 500 ms (percentil 95 de 5 cargas).</t>
  </si>
  <si>
    <t>H-01, H-05, H-15 · Acta 23/09</t>
  </si>
  <si>
    <t>Validado</t>
  </si>
  <si>
    <t>Sí</t>
  </si>
  <si>
    <t>RF-02</t>
  </si>
  <si>
    <t>El sistema registra el inicio de un turno sobre una habitación libre con la hora de ingreso fijada por el servidor.</t>
  </si>
  <si>
    <t>Es el núcleo transaccional del servicio por hora; elimina la hora de ingreso escrita o alterada a mano.</t>
  </si>
  <si>
    <t>Condición inicial: habitación 01 en estado Libre y una tarifa vigente. Acción: el conserje confirma la apertura, con la patente AE987CD opcional. Resultado: se crea el turno En Curso con hora_inicio asignada por el servidor y la tarifa_base copiada del momento, y la habitación pasa a Ocupada; una segunda apertura sobre la misma habitación responde 409 (RN-EXI-01).</t>
  </si>
  <si>
    <t>H-04, H-16 · Acta 23/09</t>
  </si>
  <si>
    <t>RF-03</t>
  </si>
  <si>
    <t>El sistema calcula el importe del turno con la tarifa base y el sobreturno por fracciones de 30 min.</t>
  </si>
  <si>
    <t>Automatiza la liquidación y elimina las sumas manuales de tiempos de estadía.</t>
  </si>
  <si>
    <t>Condición inicial: tarifa Estándar vigente ($8.000 por 120 min y $2.500 por cada fracción de 30 min o porción, sin tolerancia) y un turno En Curso. Acción: pedir el resumen del turno a los 120, 121, 150 y 151 min. Resultado: sobreturno de $0, $2.500, $2.500 y $5.000; total = tarifa base + sobreturno + consumos (RN-DER-01 y RN-DER-02). La gerencia aprueba los importes de la tarifa en el acta del 06/10/2026; el acta del 23/09 aprueba la regla.</t>
  </si>
  <si>
    <t>H-05, H-07, H-16 · Acta 23/09</t>
  </si>
  <si>
    <t>RF-04</t>
  </si>
  <si>
    <t>El sistema registra el consumo de minibar de un turno y descuenta el stock en la misma transacción.</t>
  </si>
  <si>
    <t>Reemplaza el conteo físico de lo consumido en cada arqueo y evita mermas no registradas.</t>
  </si>
  <si>
    <t>Condición inicial: turno En Curso y artículo MIN-001 con stock 10. Acción: despachar 2 unidades. Resultado: el stock queda en 8, se crea la línea de consumo con subtotal = 2 × precio unitario y el total del turno aumenta en ese subtotal, todo en una única transacción.</t>
  </si>
  <si>
    <t>H-05, H-16 · Acta 23/09</t>
  </si>
  <si>
    <t>RF-05</t>
  </si>
  <si>
    <t>El sistema rechaza el consumo de un artículo cuando la cantidad pedida supera el stock.</t>
  </si>
  <si>
    <t>Aplica RN-EXI-02 y evita stock negativo y consumos ficticios.</t>
  </si>
  <si>
    <t>Condición inicial: artículo con stock 0, o con stock menor a la cantidad pedida. Acción: despachar 1 unidad. Resultado: respuesta 400 con el mensaje «Stock insuficiente», sin línea de consumo y sin cambio en el stock ni en los totales del turno.</t>
  </si>
  <si>
    <t>RF-06</t>
  </si>
  <si>
    <t>El sistema registra el cobro desglosado por medio de pago, con el comprobante de los pagos electrónicos.</t>
  </si>
  <si>
    <t>Permite conciliar efectivo y comprobantes de POSNET en el arqueo, como hoy hace el conserje con sus anotadores.</t>
  </si>
  <si>
    <t>Condición inicial: turno En Curso con saldo adeudado de $X. Acción: confirmar el cobro con efectivo y POSNET cuyos importes suman exactamente $X, y el número de comprobante del POSNET. Resultado: un registro de pago por medio, la constancia de cobro y saldo $0; un pago electrónico sin comprobante responde 422 y un desglose que no suma $X responde 400.</t>
  </si>
  <si>
    <t>H-17, H-19 · Acta 23/09</t>
  </si>
  <si>
    <t>RF-07</t>
  </si>
  <si>
    <t>El sistema impide pasar a En Limpieza una habitación cuyo turno tiene saldo adeudado.</t>
  </si>
  <si>
    <t>Aplica RN-EXI-03: una habitación no se libera sin cobrar la totalidad del saldo.</t>
  </si>
  <si>
    <t>Condición inicial: turno En Curso con saldo adeudado mayor a $0. Acción: pedir el cambio de la habitación a En Limpieza. Resultado: respuesta 409 con el saldo adeudado, la habitación continúa Ocupada y el turno continúa En Curso.</t>
  </si>
  <si>
    <t>H-04, H-15 · Acta 23/09</t>
  </si>
  <si>
    <t>RF-08</t>
  </si>
  <si>
    <t>El sistema procesa el cierre de caja ciego al final de cada guardia de 8 h.</t>
  </si>
  <si>
    <t>Es el control directo sobre la discrepancia de caja: el conserje declara el efectivo y los comprobantes antes de conocer el total del sistema (RN-RES-03).</t>
  </si>
  <si>
    <t>Condición inicial: guardia terminada, con turnos cobrados y un operador saliente identificado. Acción: el operador ingresa el recuento físico de efectivo y de comprobantes. Resultado: antes de confirmar el recuento ninguna respuesta de la API incluye el total del sistema; al confirmar se guarda el arqueo con total declarado, total del sistema y diferencia, y el registro queda bloqueado contra UPDATE y DELETE.</t>
  </si>
  <si>
    <t>H-02, H-03, H-06, H-13, H-17, H-18, H-22 · Acta 23/09</t>
  </si>
  <si>
    <t>RF-09</t>
  </si>
  <si>
    <t>El sistema calcula y clasifica la diferencia entre lo declarado y lo registrado en cada arqueo.</t>
  </si>
  <si>
    <t>Entrega a la gerencia la métrica por guardia y por operador que hoy se obtiene a mano (H-18).</t>
  </si>
  <si>
    <t>Condición inicial: arqueo confirmado con total declarado D y total del sistema S. Acción: el sistema aplica RN-DER-03. Resultado: se guarda la diferencia D − S y su categoría: «Correcto» si es 0, «Faltante» si es negativa y «Sobrante» si es positiva; con D = $50.000 y S = $52.500 el resultado es Faltante de $2.500.</t>
  </si>
  <si>
    <t>H-03, H-06, H-18 · Acta 23/09</t>
  </si>
  <si>
    <t>RF-10</t>
  </si>
  <si>
    <t>El sistema genera un comprobante de arqueo en PDF.</t>
  </si>
  <si>
    <t>Should</t>
  </si>
  <si>
    <t>Da respaldo documental a la rendición y reduce la revisión manual de balances anteriores (H-23).</t>
  </si>
  <si>
    <t>Condición inicial: arqueo cerrado. Acción: exportar el comprobante. Resultado: se descarga un PDF con la guardia, el operador, los turnos, los importes por medio de pago, el total declarado, el total del sistema y la diferencia, en menos de 2 s con 50 turnos.</t>
  </si>
  <si>
    <t>H-23 · Acta 23/09</t>
  </si>
  <si>
    <t>No</t>
  </si>
  <si>
    <t>RF-11</t>
  </si>
  <si>
    <t>El sistema permite al administrador modificar la tarifa vigente y los precios de los artículos.</t>
  </si>
  <si>
    <t>Las tarifas cambian con alta frecuencia (H-07) y no pueden estar fijas en el código.</t>
  </si>
  <si>
    <t>Condición inicial: sesión con rol Administrador y un turno finalizado con tarifa_base $8.000. Acción: cambiar la tarifa vigente a $9.000. Resultado: los turnos nuevos copian $9.000 y el turno finalizado conserva $8.000 y sus importes.</t>
  </si>
  <si>
    <t>H-07 · Acta 23/09</t>
  </si>
  <si>
    <t>RF-12</t>
  </si>
  <si>
    <t>El sistema marca en la grilla las habitaciones que superan 30 min en En Limpieza.</t>
  </si>
  <si>
    <t>Could</t>
  </si>
  <si>
    <t>La limpieza hoy no se anota (H-15) ni se mide (H-11); la marca hace visible la demora.</t>
  </si>
  <si>
    <t>Condición inicial: habitación en En Limpieza desde hace más de 30 min. Acción: refrescar la grilla. Resultado: la tarjeta muestra la marca «Demora de limpieza» con los minutos transcurridos; con 30 min o menos no se muestra.</t>
  </si>
  <si>
    <t>H-11, H-15 · Acta 23/09</t>
  </si>
  <si>
    <t>RF-13</t>
  </si>
  <si>
    <t>El sistema emite avisos sonoros en el navegador.</t>
  </si>
  <si>
    <t>Won't</t>
  </si>
  <si>
    <t>Queda fuera de este proyecto: el puesto de ventanilla no requiere avisos sonoros y la alerta visual de RF-12 cubre la necesidad.</t>
  </si>
  <si>
    <t>Condición inicial: se genera una alerta operativa (RF-12). Acción: cargar la interfaz. Resultado: la alerta se muestra solo en forma visual y el navegador no reproduce ningún sonido.</t>
  </si>
  <si>
    <t>Decisión de alcance (III.4), sin hallazgo · Acta 23/09</t>
  </si>
  <si>
    <t>No se planifica</t>
  </si>
  <si>
    <t>RNF-01</t>
  </si>
  <si>
    <t>La base de datos rechaza toda modificación y todo borrado de un turno cerrado, de sus pagos y de sus consumos.</t>
  </si>
  <si>
    <t>No funcional</t>
  </si>
  <si>
    <t>Fiabilidad</t>
  </si>
  <si>
    <t>Impide que una sentencia de la aplicación altere lo ya cobrado (H-04, H-22).</t>
  </si>
  <si>
    <t>Condición inicial: turno FINALIZADO con un pago y un consumo en PostgreSQL 16. Acción: ejecutar UPDATE y DELETE desde SQL sobre el turno, sobre su pago y sobre su consumo. Resultado: el motor rechaza las seis sentencias con la excepción de RN-RES-01 (db/verify_inmutabilidad.sql, paso del canal). Alcance: sentencias de la aplicación; el dueño de las tablas puede deshabilitar un trigger, y esa brecha se cierra con el rol de aplicación motel_app, que no es dueño de las tablas (v1.2; db/verify_roles.sql, paso del canal).</t>
  </si>
  <si>
    <t>H-04, H-22, H-23 · Acta 23/09</t>
  </si>
  <si>
    <t>RNF-02</t>
  </si>
  <si>
    <t>El backend responde la apertura y el cobro de un turno en 800 ms o menos.</t>
  </si>
  <si>
    <t>Rendimiento</t>
  </si>
  <si>
    <t>El cobro debe resolverse en un paso, sin demorar al cliente en la salida (H-08).</t>
  </si>
  <si>
    <t>Condición inicial: API en el entorno de despliegue con 5 peticiones concurrentes de apertura y 5 de cobro. Acción: repetir 20 veces y medir la latencia. Resultado: el percentil 95 es de 800 ms o menos. La gerencia aprueba el umbral en el acta del 06/10/2026.</t>
  </si>
  <si>
    <t>H-02, H-08, H-14 · Acta 23/09</t>
  </si>
  <si>
    <t>RNF-03</t>
  </si>
  <si>
    <t>El sistema no almacena nombre, apellido, DNI, teléfono, correo ni domicilio del cliente.</t>
  </si>
  <si>
    <t>Cumplimiento normativo</t>
  </si>
  <si>
    <t>Minimización de datos: el negocio no necesita identificar al cliente y la Ley 25.326 (art. 4) pide datos adecuados, pertinentes y no excesivos.</t>
  </si>
  <si>
    <t>Condición inicial: esquema creado con db/init.sql. Acción: consultar information_schema.columns. Resultado: ninguna columna de ninguna tabla guarda nombre, apellido, DNI, teléfono, correo ni domicilio del cliente; el cliente se identifica solo por la patente (opcional) o por el tipo Peatón. La retención de la patente se trata en RNF-08.</t>
  </si>
  <si>
    <t>H-08, H-20 · Acta 23/09</t>
  </si>
  <si>
    <t>RNF-04</t>
  </si>
  <si>
    <t>El sistema identifica a cada operador y atribuye a su sesión los turnos, cobros y arqueos que ejecuta.</t>
  </si>
  <si>
    <t>Seguridad</t>
  </si>
  <si>
    <t>El cierre ciego necesita saber a quién atribuir un faltante (RF-09) y la AE1 exige delimitar responsabilidades (H-06).</t>
  </si>
  <si>
    <t>Condición inicial: dos conserjes con credenciales propias. Acción: un conserje inicia sesión y ejecuta una apertura y un cobro; desde la consola del navegador se ejecuta document.cookie. Resultado: el token JWT no es visible (cookie httpOnly), el turno y el pago registran el identificador de ese operador y una petición sin token responde 401. La gerencia aprueba el requisito en el acta del 06/10/2026; el mecanismo se decide en el prototipo v2.</t>
  </si>
  <si>
    <t>H-06, H-17 · Acta 23/09</t>
  </si>
  <si>
    <t>RNF-05</t>
  </si>
  <si>
    <t>La interfaz se usa sin desplazamiento horizontal en 1366 × 768 px y con controles de al menos 44 × 44 px.</t>
  </si>
  <si>
    <t>Usabilidad</t>
  </si>
  <si>
    <t>Debe operar en la terminal de la ventanilla. La gerencia aprueba el requisito en el acta del 06/10/2026 y el autor relevó en el local que ese monitor es de 1366 × 768 px.</t>
  </si>
  <si>
    <t>Condición inicial: navegador a 1366 × 768 px. Acción: recorrer apertura, consumo y cobro. Resultado: no aparece barra de desplazamiento horizontal y cada control tiene un área de clic de al menos 44 × 44 px, comprobada con las herramientas del navegador.</t>
  </si>
  <si>
    <t>Sin hallazgo: relevamiento del autor en el local (monitor de 1366 × 768 px) · Acta 23/09</t>
  </si>
  <si>
    <t>RNF-06</t>
  </si>
  <si>
    <t>El servicio tiene una disponibilidad mensual de 99,5 % o más.</t>
  </si>
  <si>
    <t>El motel opera las 24 h y la región presenta intermitencias (H-09).</t>
  </si>
  <si>
    <t>Condición inicial: sondeo de /health cada 60 s durante 30 días en el entorno de despliegue. Acción: sumar los minutos sin respuesta. Resultado: 216 min o menos en 30 días (99,5 % de 43.200 min).</t>
  </si>
  <si>
    <t>H-09 · Acta 23/09</t>
  </si>
  <si>
    <t>RNF-07</t>
  </si>
  <si>
    <t>Los módulos de liquidación y de caja tienen una cobertura de pruebas de 70 % o más.</t>
  </si>
  <si>
    <t>Mantenibilidad</t>
  </si>
  <si>
    <t>Protege las reglas de cálculo frente a regresiones cuando cambian las tarifas.</t>
  </si>
  <si>
    <t>Condición inicial: canal de integración continua ejecutando pytest con medición de cobertura. Acción: medir la cobertura de los módulos de liquidación y de caja. Resultado: 70 % o más de líneas; el canal falla si baja de ese valor.</t>
  </si>
  <si>
    <t>Decisión de calidad del autor, sin hallazgo · Acta 23/09</t>
  </si>
  <si>
    <t>RNF-08</t>
  </si>
  <si>
    <t>La patente de un turno se elimina dentro de las 24 h posteriores a su cierre.</t>
  </si>
  <si>
    <t>La patente identifica de forma indirecta al titular del vehículo; se conserva mientras el vehículo está en el motel y luego se elimina (Ley 25.326, art. 4, inc. 7). La gerencia aprueba las 24 h en el acta del 06/10/2026, declara que necesita la patente por razones de seguridad e informa que no hay indicación del asesor legal.</t>
  </si>
  <si>
    <t>Condición inicial: turno FINALIZADO con patente AE987CD, cerrado hace más de 24 h. Acción: ejecutar la depuración y consultar los turnos cerrados y la tabla de estadía activa. Resultado: ninguna patente de un turno cerrado hace más de 24 h permanece almacenada (la consulta devuelve 0 filas) y los importes del turno quedan intactos, sin deshabilitar los triggers de inmutabilidad.</t>
  </si>
  <si>
    <t>H-08, H-16, H-20 · Acta 23/09</t>
  </si>
  <si>
    <t>RNF-09</t>
  </si>
  <si>
    <t>Ante una pérdida de conexión del navegador, los cronómetros de los turnos continúan en el servidor y la interfaz recupera el estado en 5 s o menos al reconectar.</t>
  </si>
  <si>
    <t>Es la decisión de la AE1 para las intermitencias de internet (H-09); reemplaza la idea de persistencia local en caché, que no se sostiene con el servidor en la nube.</t>
  </si>
  <si>
    <t>Condición inicial: tres turnos En Curso. Acción: cortar la conexión del navegador durante 10 min y restablecerla. Resultado: en 5 s o menos la grilla muestra los tres turnos con los minutos calculados por el servidor (diferencia de 1 min o menos respecto de su reloj), sin turnos perdidos ni duplicados. Durante el corte no se pueden abrir ni cobrar turnos; el procedimiento de contingencia manual no se define en la sesión del 06/10/2026; el autor propone anotar los turnos en papel y cargarlos al volver la conexión.</t>
  </si>
  <si>
    <t>RF-14</t>
  </si>
  <si>
    <t>El sistema permite a la gerencia cerrar, sin ver el total, la caja que un conserje dejó abierta, con un motivo obligatorio y registrando quién la cerró.</t>
  </si>
  <si>
    <t>Con un solo responsable por guardia, una caja que queda abierta bloquea la ventanilla para la guardia siguiente; el cierre por la gerencia la libera sin perder el control ciego.</t>
  </si>
  <si>
    <t>Condición inicial: guardia abierta del conserje A con un cobro de $8.000 en efectivo y un fondo de cambio de $25.000. Acción: la gerencia declara $32.000 en efectivo y el motivo «el conserje se retiró sin cerrar». Resultado: antes de confirmar ninguna respuesta incluye el total del sistema; se guarda el arqueo en la caja de A con una diferencia de −$1.000 (Faltante), confirmado por la gerencia y con el motivo; sin motivo responde 422 y un conserje que lo intente responde 403.</t>
  </si>
  <si>
    <t>H-13, H-17 · Acta 19/10</t>
  </si>
  <si>
    <t>Matriz de trazabilidad · hallazgo de la AE1 → requisito</t>
  </si>
  <si>
    <t>Se verifica en doble vía. Todo requisito llega a un hallazgo; todo hallazgo llega a un requisito o a una justificación expresa de por qué no derivó ninguno. El silencio no es una decisión.</t>
  </si>
  <si>
    <t>Código (H-01, H-02…)</t>
  </si>
  <si>
    <t>Hallazgo de la AE1 (dato y valor)</t>
  </si>
  <si>
    <t>Fuente (apartado del Cap. II o acta)</t>
  </si>
  <si>
    <t>Requisito(s) derivado(s)</t>
  </si>
  <si>
    <t>Si no deriva: justificación</t>
  </si>
  <si>
    <t>Control de la doble vía</t>
  </si>
  <si>
    <t>H-01</t>
  </si>
  <si>
    <t>13 habitaciones, 3 guardias diarias y unos 30 turnos por día hábil (lunes a jueves) y unos 40 en fin de semana (viernes a domingo). La AE1 original informa 20 a 30 y 40 a 50; rige lo que la gerencia dice en la entrevista.</t>
  </si>
  <si>
    <t>AE1 · II.3 (v2) y entrevista, pág. 1</t>
  </si>
  <si>
    <t>H-02</t>
  </si>
  <si>
    <t>El arqueo manual de cada recambio de guardia demora 17 min en promedio (cronometrado: 16, 18 y 17 min).</t>
  </si>
  <si>
    <t>AE1 · II.3 y Anexo I</t>
  </si>
  <si>
    <t>RF-08, RNF-02</t>
  </si>
  <si>
    <t>H-03</t>
  </si>
  <si>
    <t>Tasa de Discrepancia de Caja (TDC): 1 de cada 10 recambios (10 %) presenta faltante o sobrante de efectivo.</t>
  </si>
  <si>
    <t>AE1 · II.3, II.4 (Figura 1)</t>
  </si>
  <si>
    <t>RF-08, RF-09</t>
  </si>
  <si>
    <t>H-04</t>
  </si>
  <si>
    <t>Hallazgo 1: el soporte en papel permite anular un turno físicamente y sin rastro; la TDC no se explica solo por errores aritméticos.</t>
  </si>
  <si>
    <t>AE1 · II.6</t>
  </si>
  <si>
    <t>RF-02, RF-07, RNF-01</t>
  </si>
  <si>
    <t>H-05</t>
  </si>
  <si>
    <t>Hallazgo 2: el arqueo consume sus 17 min en reconstruir a mano la línea de tiempo de cada habitación y en contar los productos consumidos.</t>
  </si>
  <si>
    <t>RF-01, RF-03, RF-04, RF-05</t>
  </si>
  <si>
    <t>H-06</t>
  </si>
  <si>
    <t>El conserje no debe ver el total calculado antes de declarar el efectivo físico, para delimitar su responsabilidad ante faltantes.</t>
  </si>
  <si>
    <t>AE1 · II.5 (político y legal)</t>
  </si>
  <si>
    <t>RF-08, RF-09, RNF-04</t>
  </si>
  <si>
    <t>H-07</t>
  </si>
  <si>
    <t>Las tarifas por turno y por sobreturno se ajustan con alta frecuencia por la inflación.</t>
  </si>
  <si>
    <t>AE1 · II.5 (económico)</t>
  </si>
  <si>
    <t>RF-03, RF-11</t>
  </si>
  <si>
    <t>H-08</t>
  </si>
  <si>
    <t>El cliente valora inmediatez y anonimato: sin formularios de filiación y con cobro en un solo paso.</t>
  </si>
  <si>
    <t>AE1 · II.5 (sociocultural)</t>
  </si>
  <si>
    <t>RNF-02, RNF-03, RNF-08</t>
  </si>
  <si>
    <t>H-09</t>
  </si>
  <si>
    <t>Hay intermitencias de energía e internet: el cronómetro debe vivir en el servidor y el navegador recupera el estado al reconectar.</t>
  </si>
  <si>
    <t>AE1 · II.5 (tecnológico)</t>
  </si>
  <si>
    <t>RNF-06, RNF-09</t>
  </si>
  <si>
    <t>H-10</t>
  </si>
  <si>
    <t>Riesgo de resistencia del personal de conserjería a perder el control manual de la recaudación.</t>
  </si>
  <si>
    <t>AE1 · II.5 (FODA, amenaza)</t>
  </si>
  <si>
    <t>Riesgo de adopción: se gestiona con la capacitación (X.5) y con la usabilidad de RNF-05; no genera un requisito propio.</t>
  </si>
  <si>
    <t>H-11</t>
  </si>
  <si>
    <t>El personal de maestranza y limpieza queda fuera del relevamiento; los tiempos de limpieza son estimaciones indirectas de conserjería.</t>
  </si>
  <si>
    <t>AE1 · II.2 y II.6 (limitaciones)</t>
  </si>
  <si>
    <t>H-12</t>
  </si>
  <si>
    <t>Exclusiones del alcance de la AE1: liquidación de haberes (gestión contable externa) e interfaz de reservas para clientes (anonimato).</t>
  </si>
  <si>
    <t>AE1 · 1.6</t>
  </si>
  <si>
    <t>Exclusiones de alcance (III.4): nómina e interfaz de reservas quedan fuera del proyecto.</t>
  </si>
  <si>
    <t>H-13</t>
  </si>
  <si>
    <t>El personal de conserjería cumple tres guardias fijas de 8 h: 06:00, 14:00 y 22:00.</t>
  </si>
  <si>
    <t>Entrevista · pág. 1</t>
  </si>
  <si>
    <t>RF-08, RF-14</t>
  </si>
  <si>
    <t>H-14</t>
  </si>
  <si>
    <t>Volumen informado por la gerencia: unos 30 turnos por día entre semana y unos 40 los fines de semana.</t>
  </si>
  <si>
    <t>H-15</t>
  </si>
  <si>
    <t>El estado de cada habitación se lleva con papeles anotadores individuales; la limpieza no se anota.</t>
  </si>
  <si>
    <t>RF-01, RF-07, RF-12</t>
  </si>
  <si>
    <t>H-16</t>
  </si>
  <si>
    <t>Cada anotador registra habitación, hora de entrada y de salida, consumos y patente del vehículo (o «peatón»); cada guardia recibe 20 anotadores.</t>
  </si>
  <si>
    <t>RF-02, RF-03, RF-04, RF-05, RNF-08</t>
  </si>
  <si>
    <t>H-17</t>
  </si>
  <si>
    <t>En el recambio, el conserje suma sus anotadores; el total debe coincidir con el efectivo de la gaveta más los pagos digitales, y se devuelven los 20 anotadores.</t>
  </si>
  <si>
    <t>Entrevista · pág. 2</t>
  </si>
  <si>
    <t>RF-06, RF-08, RF-14, RNF-04</t>
  </si>
  <si>
    <t>H-18</t>
  </si>
  <si>
    <t>Un faltante se descuenta de la caja de la guardia que cierra y se computa como faltante a auditar por los encargados.</t>
  </si>
  <si>
    <t>H-19</t>
  </si>
  <si>
    <t>Los pagos digitales generan un comprobante del POSNET que se suma en el arqueo; hay un QR en las habitaciones.</t>
  </si>
  <si>
    <t>H-20</t>
  </si>
  <si>
    <t>Los papeles con datos de los huéspedes se archivan físicamente en un depósito bajo llave dentro del establecimiento.</t>
  </si>
  <si>
    <t>RNF-03, RNF-08</t>
  </si>
  <si>
    <t>H-21</t>
  </si>
  <si>
    <t>El motel trabaja bajo las ordenanzas municipales, con habilitación para alojamiento por hora y venta de bebidas alcohólicas las 24 h, y atiende solo a mayores de 18 años.</t>
  </si>
  <si>
    <t>Contexto normativo del entorno (III.1): el motel ya cumple las ordenanzas; no exige funcionalidad al sistema.</t>
  </si>
  <si>
    <t>H-22</t>
  </si>
  <si>
    <t>Los anotadores se cambian por montos menores o se entregan en blanco; la gerencia detecta estas maniobras varias veces al mes.</t>
  </si>
  <si>
    <t>RF-08, RNF-01</t>
  </si>
  <si>
    <t>H-23</t>
  </si>
  <si>
    <t>Auditar un balance hacia atrás exige horas de revisión manual, turno por turno.</t>
  </si>
  <si>
    <t>Entrevista · pág. 3</t>
  </si>
  <si>
    <t>RF-10, RNF-01</t>
  </si>
  <si>
    <t>H-24</t>
  </si>
  <si>
    <t>La gerencia espera controlar todo el movimiento de clientes y consumos y confía en que el personal se adapte al sistema digital.</t>
  </si>
  <si>
    <t>Expectativa de la gerencia: sustenta el criterio de éxito (TPA ≤ 5 min), no un requisito.</t>
  </si>
  <si>
    <t>Lista filtrada de entidades del dominio · Instrumento 28</t>
  </si>
  <si>
    <t>Cada candidata pasa por el filtro de las tres preguntas. Las descartadas no se borran: se reclasifican, porque los descartes de hoy son las preguntas del glosario de mañana.</t>
  </si>
  <si>
    <t>Candidata (sustantivo de la organización)</t>
  </si>
  <si>
    <t>¿Identidad propia?</t>
  </si>
  <si>
    <t>¿Datos y reglas propios?</t>
  </si>
  <si>
    <t>¿Dentro del recorte?</t>
  </si>
  <si>
    <t>Veredicto</t>
  </si>
  <si>
    <t>Fuente que la acredita</t>
  </si>
  <si>
    <t>Relaciones principales</t>
  </si>
  <si>
    <t>Habitación</t>
  </si>
  <si>
    <t>Entidad</t>
  </si>
  <si>
    <t>H-01, H-15</t>
  </si>
  <si>
    <t>Una habitación acumula muchos turnos; en un instante tiene como máximo un turno En Curso.</t>
  </si>
  <si>
    <t>Turno</t>
  </si>
  <si>
    <t>Pertenece a una habitación y a la guardia que lo abre; copia los importes de la tarifa vigente; agrupa consumos y pagos.</t>
  </si>
  <si>
    <t>Tarifa</t>
  </si>
  <si>
    <t>Una tarifa rige para muchos turnos; el turno copia sus importes al abrirse, de modo que un cambio no altera turnos liquidados.</t>
  </si>
  <si>
    <t>Artículo</t>
  </si>
  <si>
    <t>H-05, H-16</t>
  </si>
  <si>
    <t>Tiene stock y precio; se asocia a muchas líneas de consumo.</t>
  </si>
  <si>
    <t>Detalle_Consumo</t>
  </si>
  <si>
    <t>Pertenece a un turno En Curso y referencia un artículo; descuenta stock en la misma transacción.</t>
  </si>
  <si>
    <t>Pago</t>
  </si>
  <si>
    <t>H-17, H-19</t>
  </si>
  <si>
    <t>Pertenece a un turno; lo registra un operador en una guardia; un turno admite varios pagos (efectivo y comprobantes).</t>
  </si>
  <si>
    <t>Operador (conserje)</t>
  </si>
  <si>
    <t>H-06, H-13, H-17</t>
  </si>
  <si>
    <t>Hay un solo responsable por guardia, y todas las operaciones de la guardia van a su nombre (acta del 19/10/2026); registra turnos, pagos y arqueos; a él se atribuye un faltante.</t>
  </si>
  <si>
    <t>Guardia</t>
  </si>
  <si>
    <t>Franja de 8 h (06:00, 14:00 o 22:00) con un operador responsable; recibe un fondo de cambio de $25.000 y agrupa los pagos que se registran en ella (acta del 19/10/2026).</t>
  </si>
  <si>
    <t>Arqueo_Caja</t>
  </si>
  <si>
    <t>H-17, H-18</t>
  </si>
  <si>
    <t>Uno por guardia: total declarado (efectivo como monto total), total del sistema y diferencia; inmutable al confirmarse. Si el conserje deja la caja abierta, lo confirma la gerencia con un motivo (RF-14).</t>
  </si>
  <si>
    <t>Patente</t>
  </si>
  <si>
    <t>Atributo de otra entidad</t>
  </si>
  <si>
    <t>H-16, H-20</t>
  </si>
  <si>
    <t>Se guarda en la estadía activa, separada del registro financiero, y se elimina dentro de las 24 h posteriores al cierre (RNF-08).</t>
  </si>
  <si>
    <t>Cliente</t>
  </si>
  <si>
    <t>Elemento del entorno</t>
  </si>
  <si>
    <t>H-08, H-16</t>
  </si>
  <si>
    <t>Lo padece el sistema: solo existe como tipo (Auto, Moto, Peatón) y patente opcional; no se registran datos filiatorios.</t>
  </si>
  <si>
    <t>Papel anotador</t>
  </si>
  <si>
    <t>H-15, H-16</t>
  </si>
  <si>
    <t>Artefacto preexistente que absorbe funcionalmente la entidad Turno; la AE1 lo llama ficha de papel.</t>
  </si>
  <si>
    <t>Diferencia de caja</t>
  </si>
  <si>
    <t>Atributo calculado de Arqueo_Caja: total declarado − total del sistema.</t>
  </si>
  <si>
    <t>Registro de reglas de negocio · Instrumento 29</t>
  </si>
  <si>
    <t>Regla y requisito derivado deben citar la misma fuente: esa coincidencia es la trazabilidad que la dimensión 1 de la rúbrica verifica.</t>
  </si>
  <si>
    <t>Código</t>
  </si>
  <si>
    <t>Enunciado verificable</t>
  </si>
  <si>
    <t>Fuente</t>
  </si>
  <si>
    <t>Estado</t>
  </si>
  <si>
    <t>Requisito derivado (ID)</t>
  </si>
  <si>
    <t>RN-RES-01</t>
  </si>
  <si>
    <t>Restricción</t>
  </si>
  <si>
    <t>Un turno FINALIZADO o Anulado no admite nuevos consumos, cambio de habitación ni modificación de importes, y no se puede borrar; lo mismo rige para sus pagos y consumos.</t>
  </si>
  <si>
    <t>H-04, H-22 · Acta 23/09 (RNF-01)</t>
  </si>
  <si>
    <t>Validada</t>
  </si>
  <si>
    <t>RF-02, RNF-01</t>
  </si>
  <si>
    <t>RN-RES-02</t>
  </si>
  <si>
    <t>Confirmado el cierre de caja de una guardia, el arqueo no admite UPDATE ni DELETE.</t>
  </si>
  <si>
    <t>H-04, H-18 · Acta 23/09 (RF-08, RF-09, RNF-01)</t>
  </si>
  <si>
    <t>RN-RES-03</t>
  </si>
  <si>
    <t>Ni la interfaz ni la API muestran al operador el total del sistema de la guardia antes de que confirme el recuento físico.</t>
  </si>
  <si>
    <t>H-06 · Acta 23/09 (RF-08)</t>
  </si>
  <si>
    <t>RN-RES-04</t>
  </si>
  <si>
    <t>RN-DER-01</t>
  </si>
  <si>
    <t>Derivación</t>
  </si>
  <si>
    <t>Si la estadía supera los 120 min, se suma $2.500 por cada fracción de 30 min o porción de excedente; no se aplica tolerancia.</t>
  </si>
  <si>
    <t>H-05, H-07 · Acta 23/09 (RF-03)</t>
  </si>
  <si>
    <t>RN-DER-02</t>
  </si>
  <si>
    <t>El total adeudado del turno es la tarifa base, más el sobreturno de RN-DER-01, más la suma de los subtotales de consumo.</t>
  </si>
  <si>
    <t>H-16, H-17 · Acta 23/09 (RF-03, RF-04)</t>
  </si>
  <si>
    <t>RF-03, RF-04</t>
  </si>
  <si>
    <t>RN-DER-03</t>
  </si>
  <si>
    <t>Diferencia = total declarado (efectivo + comprobantes) − total del sistema. Si es 0 es «Correcto»; si es negativa, «Faltante»; si es positiva, «Sobrante».</t>
  </si>
  <si>
    <t>H-17, H-18 · Acta 23/09 (RF-09)</t>
  </si>
  <si>
    <t>RN-DER-04</t>
  </si>
  <si>
    <t>El cobro se imputa a la caja del conserje que lo confirma, aunque el turno lo haya abierto otro conserje u otra guardia. Un turno abierto a las 21:30 por la guardia de las 14:00 y cobrado a las 23:30 entra a la caja de la guardia de las 22:00.</t>
  </si>
  <si>
    <t>RN-EXI-01</t>
  </si>
  <si>
    <t>Existencia</t>
  </si>
  <si>
    <t>Solo se abre un turno en una habitación que está en estado Libre.</t>
  </si>
  <si>
    <t>H-15 · Acta 23/09 (RF-01, RF-02)</t>
  </si>
  <si>
    <t>RF-01, RF-02</t>
  </si>
  <si>
    <t>RN-EXI-02</t>
  </si>
  <si>
    <t>Un consumo se registra solo si el stock del artículo es mayor o igual a la cantidad pedida, y el stock se descuenta en la misma transacción.</t>
  </si>
  <si>
    <t>H-05 · Acta 23/09 (RF-04, RF-05)</t>
  </si>
  <si>
    <t>RF-04, RF-05</t>
  </si>
  <si>
    <t>RN-EXI-03</t>
  </si>
  <si>
    <t>Una habitación pasa a En Limpieza solo si su turno queda FINALIZADO con un saldo adeudado de exactamente $0.</t>
  </si>
  <si>
    <t>H-15 · Acta 23/09 (RF-06, RF-07)</t>
  </si>
  <si>
    <t>RF-06, RF-07</t>
  </si>
  <si>
    <t>RN-DER-05</t>
  </si>
  <si>
    <t>El efectivo que el sistema espera en el arqueo de una caja es el fondo de cambio de $25.000 más los cobros en efectivo imputados a su guardia.</t>
  </si>
  <si>
    <t>Acta 19/10 (punto 5)</t>
  </si>
  <si>
    <t>RN-RES-05</t>
  </si>
  <si>
    <t>Un arqueo que confirma la gerencia en lugar del conserje (cierre supervisado) exige un motivo y registra quién lo confirmó; la caja sigue siendo del conserje.</t>
  </si>
  <si>
    <t>H-13 · Acta 19/10 (punto 9)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</si>
  <si>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</si>
  <si>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</si>
  <si>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</si>
  <si>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</si>
  <si>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</si>
  <si>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</si>
  <si>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</si>
  <si>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</si>
  <si>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</si>
  <si>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</si>
  <si>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</si>
  <si>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</si>
  <si>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</si>
  <si>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</si>
  <si>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</si>
  <si>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</si>
  <si>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R-30</t>
  </si>
  <si>
    <t>R-31</t>
  </si>
  <si>
    <t>R-32</t>
  </si>
  <si>
    <t>R-33</t>
  </si>
  <si>
    <t>R-34</t>
  </si>
  <si>
    <t>R-35</t>
  </si>
  <si>
    <t>R-36</t>
  </si>
  <si>
    <t>Glosario del dominio · Instrumento 30</t>
  </si>
  <si>
    <t>Vocabulario normativo del informe completo y, más adelante, de las tablas del sistema. La entrada más valiosa es la del término en disputa: el que dos personas de la organización usan distinto.</t>
  </si>
  <si>
    <t>Término (como lo usa la organización)</t>
  </si>
  <si>
    <t>Definición operativa (una o dos oraciones)</t>
  </si>
  <si>
    <t>Sinónimos y falsos amigos detectados</t>
  </si>
  <si>
    <t>Fuente (quién lo usa así)</t>
  </si>
  <si>
    <t>¿En disputa?</t>
  </si>
  <si>
    <t>Turno (de alojamiento)</t>
  </si>
  <si>
    <t>Ocupación de una habitación por una estadía base de 120 min más sobreturnos.</t>
  </si>
  <si>
    <t>Falso amigo: «turno» de guardia. La entrevista llama «turnos» tanto a las estadías («treinta turnos por día») como a las jornadas del personal.</t>
  </si>
  <si>
    <t>Guardia (turno de guardia)</t>
  </si>
  <si>
    <t>Jornada de 8 h de un operador: 06:00, 14:00 o 22:00. Al terminar se hace el recambio y el arqueo.</t>
  </si>
  <si>
    <t>Falso amigo: turno de alojamiento. El relevo se llama «cambio de turno».</t>
  </si>
  <si>
    <t>Entrevista · pág. 1 y 2</t>
  </si>
  <si>
    <t>Sobreturno</t>
  </si>
  <si>
    <t>Tiempo que excede los 120 min de la estadía base, cobrado por fracciones de 30 min o porción.</t>
  </si>
  <si>
    <t>Sin sinónimos relevados.</t>
  </si>
  <si>
    <t>AE1 · II.5</t>
  </si>
  <si>
    <t>Cierre ciego</t>
  </si>
  <si>
    <t>Rendición en la que el operador declara el efectivo y los comprobantes sin ver el total del sistema.</t>
  </si>
  <si>
    <t>Recambio de guardia</t>
  </si>
  <si>
    <t>Momento en que una guardia termina y la siguiente recibe la caja y los anotadores.</t>
  </si>
  <si>
    <t>«Cambio de turno» (entrevista).</t>
  </si>
  <si>
    <t>Hoja individual donde se anota habitación, horas, consumos y patente de cada estadía.</t>
  </si>
  <si>
    <t>«Ficha de papel» de 10 × 10 cm (AE1).</t>
  </si>
  <si>
    <t>Entrevista · pág. 1; AE1 · 1.1</t>
  </si>
  <si>
    <t>Minibar</t>
  </si>
  <si>
    <t>Productos de consumo que se despachan a pedido a la habitación y se anotan en el papel.</t>
  </si>
  <si>
    <t>Falso amigo: «heladera de habitación» (a confirmar con la gerencia).</t>
  </si>
  <si>
    <t>Estadía activa</t>
  </si>
  <si>
    <t>Período en el que el vehículo está dentro del motel; es el único momento en que se necesita la patente.</t>
  </si>
  <si>
    <t>Propuesta del autor (RNF-08), a validar</t>
  </si>
  <si>
    <t>Persona que atiende la ventanilla durante una guardia y rinde su caja.</t>
  </si>
  <si>
    <t>«Conserje» (entrevista).</t>
  </si>
  <si>
    <t>TDC (Tasa de Discrepancia de Caja)</t>
  </si>
  <si>
    <t>Proporción de recambios cuya liquidación presenta faltante o sobrante: 1 de cada 10 (10 %). Es una frecuencia, no un monto de dinero.</t>
  </si>
  <si>
    <t>«Descuadre».</t>
  </si>
  <si>
    <t>AE1 · II.3</t>
  </si>
  <si>
    <t>TPA (Tiempo Promedio de Arqueo)</t>
  </si>
  <si>
    <t>Minutos que demora el arqueo de un recambio: 17 min en la línea de base.</t>
  </si>
  <si>
    <t>Fondo de cambio</t>
  </si>
  <si>
    <t>Efectivo que recibe la caja al empezar la guardia para dar vuelto: $25.000. Se cuenta junto con lo cobrado en el arqueo.</t>
  </si>
  <si>
    <t>«Cambio», «fondo fijo».</t>
  </si>
  <si>
    <t>Gerencia · acta del 19/10/2026</t>
  </si>
  <si>
    <t>Plan de iteraciones y presupuesto de horas · Capítulo V</t>
  </si>
  <si>
    <t>El cronograma se construye sobre el presupuesto efectivo de horas-persona y se alinea con la cadencia de artefactos: v1 en la semana 8, v2 en la semana 11, v3 en la semana 13 y versión funcional congelada en la semana 14.</t>
  </si>
  <si>
    <t>Iteración</t>
  </si>
  <si>
    <t>Desde</t>
  </si>
  <si>
    <t>Hasta</t>
  </si>
  <si>
    <t>Objetivo verificable</t>
  </si>
  <si>
    <t>Requisitos comprometidos (ID)</t>
  </si>
  <si>
    <t>Entregable de cierre</t>
  </si>
  <si>
    <t>Horas asignadas</t>
  </si>
  <si>
    <t>13/08/2026</t>
  </si>
  <si>
    <t>03/09/2026</t>
  </si>
  <si>
    <t>Relevar la organización, medir la línea de base (TPA 17 min, TDC 10 %) y validar la maqueta v0 con la gerencia el 29/08.</t>
  </si>
  <si>
    <t>H-01 a H-24 (hallazgos); sin requisitos comprometidos</t>
  </si>
  <si>
    <t>Prototipo v0: maqueta navegable en Figma e informe de la AE1.</t>
  </si>
  <si>
    <t>07/09/2026</t>
  </si>
  <si>
    <t>02/10/2026</t>
  </si>
  <si>
    <t>Delimitar el dominio, formalizar el catálogo y construir el esqueleto ejecutable (Walking Skeleton) con canal de integración continua.</t>
  </si>
  <si>
    <t>RF-01 a RF-07, RNF-01, RNF-03, RNF-05 (10 Must)</t>
  </si>
  <si>
    <t>Prototipo v1 (etiqueta v1.1): apertura, consumo, cobro, retorno a Limpieza e inmutabilidad.</t>
  </si>
  <si>
    <t>05/10/2026</t>
  </si>
  <si>
    <t>29/10/2026</t>
  </si>
  <si>
    <t>Implementar el cierre de caja ciego con Operador, Guardia y Arqueo; la autenticación; la retención de la patente y la separación de roles de base de datos.</t>
  </si>
  <si>
    <t>RF-08, RF-09, RNF-02, RNF-04, RNF-08 (5 Must), RNF-07 y RF-14 (Should, acta del 19/10/2026)</t>
  </si>
  <si>
    <t>Prototipo v2: cierre ciego con pruebas automáticas. La retención de la patente (RNF-08) y el rol de aplicación se adelantan a la v1.2 (05/10/2026).</t>
  </si>
  <si>
    <t>02/11/2026</t>
  </si>
  <si>
    <t>26/11/2026</t>
  </si>
  <si>
    <t>Completar reportes, edición de tarifas y alertas; desplegar en la nube y congelar la versión demostrable.</t>
  </si>
  <si>
    <t>RF-10, RF-11, RF-12, RNF-06, RNF-09 (Should y Could)</t>
  </si>
  <si>
    <t>Prototipo v3: versión congelada y desplegada, demostrable ante tribunal.</t>
  </si>
  <si>
    <t>Presupuesto de horas-persona</t>
  </si>
  <si>
    <t>Integrantes del equipo</t>
  </si>
  <si>
    <t>Horas semanales reales por integrante (declaradas, no deseadas)</t>
  </si>
  <si>
    <t>Semanas del período</t>
  </si>
  <si>
    <t>Presupuesto total</t>
  </si>
  <si>
    <t>Reducción prevista por exámenes y feriados (horas)</t>
  </si>
  <si>
    <t>24 h de reserva por exámenes y contingencias (2 semanas) menos 8 h adicionales de las semanas 7, 8, 13 y 14 a 14 h</t>
  </si>
  <si>
    <t>Presupuesto efectivo resultante</t>
  </si>
  <si>
    <t>Horas ya asignadas a iteraciones</t>
  </si>
  <si>
    <t>Margen disponible</t>
  </si>
  <si>
    <t>Cláusula de contingencia (exigencia vii de la consigna)</t>
  </si>
  <si>
    <t>Si el presupuesto de horas cae un tercio, se posterga</t>
  </si>
  <si>
    <t>Con la pérdida de un tercio (59 h) quedan 25 h de las 84 por ejecutar al iniciar la iteración 3. Postergar RF-10, RF-11 y RF-12 libera solo 12 h y no alcanza; caben RF-08 y RF-09 (17 h), sus pruebas de aceptación (3 h) y RNF-08 (5 h). RNF-02, RNF-04, RNF-07 y la iteración 4 pasan a trabajo futuro y el PMV queda con 13 de los 15 Must.</t>
  </si>
  <si>
    <t>Criterio de redistribución, según el acta de constitución</t>
  </si>
  <si>
    <t>Autoría individual (Thiago Leal): no hay redistribución entre integrantes; el esfuerzo restante se concentra en RF-08, RF-09 y RNF-08 sobre el esqueleto ya construido.</t>
  </si>
  <si>
    <t>Qué no se sacrifica en ningún caso</t>
  </si>
  <si>
    <t>La trazabilidad del catálogo, la bitácora y la ejecutabilidad del prototipo (v1.2): son condiciones de cómputo.</t>
  </si>
  <si>
    <t>Plan de horas por requisito y perfil (apoya las horas asignadas y el Capítulo X)</t>
  </si>
  <si>
    <t>Tarea o requisito</t>
  </si>
  <si>
    <t>Descripción</t>
  </si>
  <si>
    <t>Backend (h)</t>
  </si>
  <si>
    <t>Frontend (h)</t>
  </si>
  <si>
    <t>Analista y QA (h)</t>
  </si>
  <si>
    <t>Total (h)</t>
  </si>
  <si>
    <t>T-REL</t>
  </si>
  <si>
    <t>Relevamiento, análisis y redacción de la AE1</t>
  </si>
  <si>
    <t>Transversal</t>
  </si>
  <si>
    <t>T-MAQ</t>
  </si>
  <si>
    <t>Maqueta navegable v0 en Figma</t>
  </si>
  <si>
    <t>Grilla de habitaciones</t>
  </si>
  <si>
    <t>Apertura de turno</t>
  </si>
  <si>
    <t>Liquidación con sobreturno</t>
  </si>
  <si>
    <t>Consumo de minibar</t>
  </si>
  <si>
    <t>Rechazo por stock insuficiente</t>
  </si>
  <si>
    <t>Cobro desglosado y constancia</t>
  </si>
  <si>
    <t>Rechazo de limpieza con deuda</t>
  </si>
  <si>
    <t>Triggers de inmutabilidad</t>
  </si>
  <si>
    <t>Sin datos filiatorios</t>
  </si>
  <si>
    <t>Resolución 1366 × 768 y controles de 44 px</t>
  </si>
  <si>
    <t>T-CI</t>
  </si>
  <si>
    <t>Docker, canal de integración continua y README</t>
  </si>
  <si>
    <t>Cierre de caja ciego (Operador, Guardia, Arqueo); incluye RF-14, el cierre supervisado aprobado el 19/10/2026, dentro de las mismas horas</t>
  </si>
  <si>
    <t>Cálculo y clasificación de la diferencia</t>
  </si>
  <si>
    <t>Autenticación y atribución al operador</t>
  </si>
  <si>
    <t>Retención de la patente (tabla de estadía y depuración)</t>
  </si>
  <si>
    <t>Medición de latencia P95</t>
  </si>
  <si>
    <t>Cobertura de pruebas en el canal</t>
  </si>
  <si>
    <t>T-QA</t>
  </si>
  <si>
    <t>Pruebas de aceptación automatizadas de RF-08 y RF-09</t>
  </si>
  <si>
    <t>Comprobante de arqueo en PDF</t>
  </si>
  <si>
    <t>Edición de tarifas y precios</t>
  </si>
  <si>
    <t>Marca de demora de limpieza</t>
  </si>
  <si>
    <t>Disponibilidad y sondeo de /health</t>
  </si>
  <si>
    <t>Recuperación del estado al reconectar</t>
  </si>
  <si>
    <t>T-DEP</t>
  </si>
  <si>
    <t>Despliegue en AWS y congelamiento del v3</t>
  </si>
  <si>
    <t>T-DOC</t>
  </si>
  <si>
    <t>Informe final y bitácora</t>
  </si>
  <si>
    <t>T-CAP</t>
  </si>
  <si>
    <t>Capacitación al personal (3 jornadas de 2 h)</t>
  </si>
  <si>
    <t>Total</t>
  </si>
  <si>
    <t>Dimensionamiento de recursos · Capítulo X</t>
  </si>
  <si>
    <t>Cada asignación con su justificación y su fuente. Toda cifra de costo responde las tres preguntas: quién la produjo, con qué método y sobre qué universo, y para qué período de referencia. No se promedian cifras de universos distintos.</t>
  </si>
  <si>
    <t>Clase</t>
  </si>
  <si>
    <t>Concepto</t>
  </si>
  <si>
    <t>Cantidad</t>
  </si>
  <si>
    <t>Unidad</t>
  </si>
  <si>
    <t>Costo unitario</t>
  </si>
  <si>
    <t>Subtotal</t>
  </si>
  <si>
    <t>Fuente, período y justificación</t>
  </si>
  <si>
    <t>Humanos</t>
  </si>
  <si>
    <t>Perfil Backend (Thiago Leal)</t>
  </si>
  <si>
    <t>hora</t>
  </si>
  <si>
    <t>OPSSI-CESSI, salarios brutos del sector SSI, promedio de marzo de 2026 (T1-2026), según CESSI/OPSSI vía Mercado (2026).3,738,000 ÷ 173,33 h (jornada de 40 h) = 21,565 por hora, redondeado a la unidad. Salario bruto: no incluye contribuciones patronales.</t>
  </si>
  <si>
    <t>Perfil Frontend (Thiago Leal)</t>
  </si>
  <si>
    <t>Misma tarifa: una sola persona ejecuta los tres perfiles.</t>
  </si>
  <si>
    <t>Perfil Analista y QA (Thiago Leal)</t>
  </si>
  <si>
    <t>Misma tarifa.</t>
  </si>
  <si>
    <t>Físicos y materiales</t>
  </si>
  <si>
    <t>Terminal de la ventanilla (PC del motel)</t>
  </si>
  <si>
    <t>equipo</t>
  </si>
  <si>
    <t>Equipo del motel; sin costo para el proyecto. Monitor de 1366 × 768 px, relevado por el autor (RNF-05).</t>
  </si>
  <si>
    <t>Terminal POSNET</t>
  </si>
  <si>
    <t>dispositivo</t>
  </si>
  <si>
    <t>Equipo del motel (entrevista del 29/08, pág. 2); sin costo para el proyecto.</t>
  </si>
  <si>
    <t>Financieros</t>
  </si>
  <si>
    <t>Aprovisionamiento inicial del entorno en la nube</t>
  </si>
  <si>
    <t>servicio</t>
  </si>
  <si>
    <t>Estimación del autor, sin cotización: configuración del entorno de producción, dominio y certificado.</t>
  </si>
  <si>
    <t>jornada</t>
  </si>
  <si>
    <t>Estimación del autor: 3 jornadas presenciales para los conserjes y el administrador.</t>
  </si>
  <si>
    <t>Tecnológicos</t>
  </si>
  <si>
    <t>Instancia AWS EC2 t4g.small</t>
  </si>
  <si>
    <t>mes</t>
  </si>
  <si>
    <t>AWS EC2 on-demand, Linux, São Paulo (sa-east-1): USD 0,0268 por hora × 730 h = USD 19,56 por mes, a $1.540 por USD (se verifica al contratar).</t>
  </si>
  <si>
    <t>Copias de seguridad cifradas en AWS S3</t>
  </si>
  <si>
    <t>Estimación del autor: USD 1 por mes a $1.540 por USD (se verifica al contratar).</t>
  </si>
  <si>
    <t>Dominio</t>
  </si>
  <si>
    <t>año</t>
  </si>
  <si>
    <t>Estimación del autor, sin cotización (registro de dominio).</t>
  </si>
  <si>
    <t>Otros</t>
  </si>
  <si>
    <t>Soporte preventivo y correctivo posterior al despliegue</t>
  </si>
  <si>
    <t>Estimación del autor: 2 h mensuales de guardia posteriores al despliegue.</t>
  </si>
  <si>
    <t>Total general</t>
  </si>
  <si>
    <t>Horas humanas comprometidas</t>
  </si>
  <si>
    <t>Coherencia con el Capítulo V</t>
  </si>
  <si>
    <t>Panel de control de la entrega</t>
  </si>
  <si>
    <t>Los valores se calculan solos a partir de las demás hojas. Ninguna celda de esta hoja se escribe a mano. Recórrala la noche anterior a la entrega: cada línea en rojo es una observación previsible en la devolución.</t>
  </si>
  <si>
    <t>Indicador</t>
  </si>
  <si>
    <t>Valor</t>
  </si>
  <si>
    <t>Qué debe verificarse</t>
  </si>
  <si>
    <t>Requisitos registrados</t>
  </si>
  <si>
    <t>Un catálogo de menos de ocho requisitos rara vez cubre el alcance declarado.</t>
  </si>
  <si>
    <t>Requisitos con criterio de aceptación</t>
  </si>
  <si>
    <t>Debe coincidir con el total. Un requisito sin criterio no se computa.</t>
  </si>
  <si>
    <t>Requisitos trazados a un hallazgo o acta</t>
  </si>
  <si>
    <t>Debe coincidir con el total. Sin origen, el requisito no ingresa al catálogo.</t>
  </si>
  <si>
    <t>Requisitos no funcionales</t>
  </si>
  <si>
    <t>Un catálogo sin requisitos no funcionales no decidió arquitectura.</t>
  </si>
  <si>
    <t>No funcionales sin categoría declarada</t>
  </si>
  <si>
    <t>Debe ser cero.</t>
  </si>
  <si>
    <t>Requisitos «Must»</t>
  </si>
  <si>
    <t>Priorizar es nombrar lo que no se hará. Si casi todo es «Must», no se priorizó.</t>
  </si>
  <si>
    <t>Requisitos declarados dentro del MVP</t>
  </si>
  <si>
    <t>Debe coincidir con la cantidad de «Must».</t>
  </si>
  <si>
    <t>Coherencia entre «Must» y producto mínimo viable</t>
  </si>
  <si>
    <t>Si dice REVISAR, uno de los dos apartados está mal escrito: el catálogo o el V.5.</t>
  </si>
  <si>
    <t>Requisitos validados con el referente</t>
  </si>
  <si>
    <t>Un requisito redactado y no validado carece de valor probatorio.</t>
  </si>
  <si>
    <t>Filas del catálogo con campos faltantes</t>
  </si>
  <si>
    <t>Debe ser cero antes de exportar el PDF.</t>
  </si>
  <si>
    <t>Hallazgos de la AE1 registrados</t>
  </si>
  <si>
    <t>Todo hallazgo del Capítulo II que sostuvo el diagnóstico debería estar.</t>
  </si>
  <si>
    <t>Hallazgos sin requisito ni justificación</t>
  </si>
  <si>
    <t>Debe ser cero. El silencio no es una decisión.</t>
  </si>
  <si>
    <t>Entidades aceptadas en el modelo del dominio</t>
  </si>
  <si>
    <t>Cada una debe tener su fuente en la columna correspondiente.</t>
  </si>
  <si>
    <t>Candidatas evaluadas y reclasificadas</t>
  </si>
  <si>
    <t>Los descartes documentados son los que permiten defender la delimitación.</t>
  </si>
  <si>
    <t>Reglas de negocio registradas</t>
  </si>
  <si>
    <t>Mínimo exigido en el taller de la Clase 8: tres reglas enunciadas de modo verificable.</t>
  </si>
  <si>
    <t>Reglas todavía pendientes de validación</t>
  </si>
  <si>
    <t>Toda regla pendiente pasa a la guía de la sesión de validación.</t>
  </si>
  <si>
    <t>Términos del glosario en disputa</t>
  </si>
  <si>
    <t>Se resuelven con el referente y se cierran con una definición acordada.</t>
  </si>
  <si>
    <t>Horas asignadas a iteraciones</t>
  </si>
  <si>
    <t>Deben caber en el presupuesto efectivo de horas de la hoja Iteraciones.</t>
  </si>
  <si>
    <t>Coherencia entre recursos humanos y presupuesto de horas</t>
  </si>
  <si>
    <t>Las horas del Capítulo X y las del Capítulo V deben ser el mismo número.</t>
  </si>
  <si>
    <t>Condición material del cómputo</t>
  </si>
  <si>
    <t>Ninguna de estas cifras sustituye la comprobación del prototipo v1. La cátedra clona el repositorio en la etiqueta v1, sigue las instrucciones del archivo de lectura y ejecuta. Un esqueleto que no arranca, no compila o carece de instrucciones no se computa como entregado, con independencia de la calidad del documento que lo acompañe.</t>
  </si>
  <si>
    <t>Equivalencias: matriz de la versión 2 (02/10/2026) → matriz de la versión 3</t>
  </si>
  <si>
    <t>La versión 2 citaba 19 hallazgos «de la AE1». Esta hoja dice, para cada código anterior, qué fuente real lo sostiene o que no hay correlato.</t>
  </si>
  <si>
    <t>Código v2</t>
  </si>
  <si>
    <t>Qué decía la v2</t>
  </si>
  <si>
    <t>Correlato real</t>
  </si>
  <si>
    <t>Observación</t>
  </si>
  <si>
    <t>Tablero de madera desactualizado y demora de 17 min en el acceso</t>
  </si>
  <si>
    <t>H-02, H-15</t>
  </si>
  <si>
    <t>La demora de 17 min es del arqueo (TPA), no del acceso al tablero.</t>
  </si>
  <si>
    <t>Fichas con horarios alterados o estimados a mano</t>
  </si>
  <si>
    <t>H-04, H-16</t>
  </si>
  <si>
    <t>La AE1 dice que el papel permite anular un turno; no que se alteren horarios.</t>
  </si>
  <si>
    <t>Sumas manuales y demora en fracciones de sobreturno</t>
  </si>
  <si>
    <t>H-05, H-07</t>
  </si>
  <si>
    <t>Correlato parcial: la AE1 habla de sumar tiempos de pernocte manuscritos.</t>
  </si>
  <si>
    <t>Faltantes de stock no declarados en los cuadernos</t>
  </si>
  <si>
    <t>H-05 (parcial)</t>
  </si>
  <si>
    <t>La AE1 menciona el conteo físico de lo consumido, no faltantes de stock.</t>
  </si>
  <si>
    <t>Mermas de inventario hasta el arqueo semanal</t>
  </si>
  <si>
    <t>Sin correlato</t>
  </si>
  <si>
    <t>No figura en la AE1 ni en la entrevista.</t>
  </si>
  <si>
    <t>Descalce por mezcla informal de cupones de Mercado Pago y efectivo</t>
  </si>
  <si>
    <t>La entrevista (H-19) describe cómo se suman los comprobantes del POSNET, no un descalce.</t>
  </si>
  <si>
    <t>Fuga de turnos sin cobrar detectada en cuadernos</t>
  </si>
  <si>
    <t>H-04, H-22 (parcial)</t>
  </si>
  <si>
    <t>La AE1 habla de fuga por omisión de registro; la entrevista, de anotadores cambiados o en blanco.</t>
  </si>
  <si>
    <t>Arqueo de 17 min y ajuste arbitrario de billetes</t>
  </si>
  <si>
    <t>H-02, H-05</t>
  </si>
  <si>
    <t>El ajuste arbitrario de billetes no está en las fuentes.</t>
  </si>
  <si>
    <t>TDC histórica del 10 % semanal</t>
  </si>
  <si>
    <t>La AE1 dice 10 % de los recambios, no semanal ni en dinero.</t>
  </si>
  <si>
    <t>Pérdida y deterioro de hojas sueltas de rendición</t>
  </si>
  <si>
    <t>No figura en las fuentes.</t>
  </si>
  <si>
    <t>Dificultad para actualizar carteleras de precios</t>
  </si>
  <si>
    <t>H-07 (parcial)</t>
  </si>
  <si>
    <t>La AE1 habla de ajuste frecuente de tarifas, no de carteleras.</t>
  </si>
  <si>
    <t>Tiempos muertos de higienización</t>
  </si>
  <si>
    <t>H-11 (parcial)</t>
  </si>
  <si>
    <t>La AE1 dice que los tiempos de limpieza no se midieron.</t>
  </si>
  <si>
    <t>Confidencialidad e intimidad de los huéspedes</t>
  </si>
  <si>
    <t>H-08, H-20</t>
  </si>
  <si>
    <t>Compartición de sesiones entre conserjes</t>
  </si>
  <si>
    <t>RNF-04 se sustenta en H-06 y H-17 (responsabilidad por faltantes).</t>
  </si>
  <si>
    <t>Monitor de 1366 × 768 en la ventanilla</t>
  </si>
  <si>
    <t>Relevada por el autor en el local: 1366 × 768 px; RNF-05 aprobado en el acta del 06/10/2026.</t>
  </si>
  <si>
    <t>Parálisis ante cortes de conectividad</t>
  </si>
  <si>
    <t>Fallos de software no detectados</t>
  </si>
  <si>
    <t>RNF-07 se declara decisión de calidad del autor.</t>
  </si>
  <si>
    <t>H-EX-01</t>
  </si>
  <si>
    <t>Demanda de facturación electrónica ante ARCA</t>
  </si>
  <si>
    <t>La exclusión se sustenta en el acta del 23/09 (punto 5, a).</t>
  </si>
  <si>
    <t>H-EX-02</t>
  </si>
  <si>
    <t>Deseo gerencial de corte de energía con domótica</t>
  </si>
  <si>
    <t>La exclusión se sustenta en el acta del 23/09 (punto 5, 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</si>
</sst>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1" x14ac:knownFonts="1">
    <font>
      <sz val="11"/>
      <color theme="1"/>
      <name val="Calibri"/>
      <family val="2"/>
      <charset val="1"/>
    </font>
    <font>
      <b/>
      <sz val="13"/>
      <color rgb="FF1F3A6E"/>
      <name val="Arial"/>
      <charset val="1"/>
    </font>
    <font>
      <i/>
      <sz val="9"/>
      <color rgb="FF5A6A80"/>
      <name val="Arial"/>
      <charset val="1"/>
    </font>
    <font>
      <b/>
      <sz val="10"/>
      <color rgb="FF1F3A6E"/>
      <name val="Arial"/>
      <charset val="1"/>
    </font>
    <font>
      <sz val="1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9"/>
      <color rgb="FF7A5C00"/>
      <name val="Arial"/>
      <charset val="1"/>
    </font>
    <font>
      <sz val="9"/>
      <color rgb="FF1C2430"/>
      <name val="Arial"/>
      <charset val="1"/>
    </font>
    <font>
      <b/>
      <sz val="11"/>
      <color rgb="FF1F3A6E"/>
      <name val="Arial"/>
      <charset val="1"/>
    </font>
    <font>
      <sz val="9"/>
      <color rgb="FF7A5C00"/>
      <name val="Arial"/>
      <charset val="1"/>
    </font>
    <font>
      <b/>
      <sz val="10"/>
      <name val="Arial"/>
      <charset val="1"/>
    </font>
    <font>
      <b/>
      <sz val="10"/>
      <color rgb="FF7A5C00"/>
      <name val="Arial"/>
      <charset val="1"/>
    </font>
    <font>
      <sz val="9"/>
      <color rgb="FF5A6A80"/>
      <name val="Arial"/>
      <charset val="1"/>
    </font>
    <font>
      <i/>
      <sz val="8"/>
      <name val="Arial"/>
    </font>
    <font>
      <b/>
      <sz val="10"/>
      <color rgb="FF1F3A6E"/>
      <name val="Arial"/>
    </font>
    <font>
      <b/>
      <sz val="9"/>
      <name val="Arial"/>
    </font>
    <font>
      <b/>
      <sz val="12"/>
      <color rgb="FF1F3A6E"/>
      <name val="Arial"/>
    </font>
    <font>
      <i/>
      <sz val="9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5FA"/>
        <bgColor rgb="FFFDF4E2"/>
      </patternFill>
    </fill>
    <fill>
      <patternFill patternType="solid">
        <fgColor rgb="FFFDF4E2"/>
        <bgColor rgb="FFFFF6D6"/>
      </patternFill>
    </fill>
    <fill>
      <patternFill patternType="solid">
        <fgColor rgb="FFFFF6D6"/>
        <bgColor rgb="FFFDF4E2"/>
      </patternFill>
    </fill>
    <fill>
      <patternFill patternType="solid">
        <fgColor rgb="FF1F3A6E"/>
        <bgColor rgb="FF333399"/>
      </patternFill>
    </fill>
    <fill>
      <patternFill patternType="solid">
        <fgColor rgb="FFFBEAEA"/>
        <bgColor rgb="FFFDF4E2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  <diagonal/>
    </border>
    <border>
      <left/>
      <right/>
      <top style="thin">
        <color rgb="FFB9C4D6"/>
      </top>
      <bottom style="thin">
        <color rgb="FFB9C4D6"/>
      </bottom>
      <diagonal/>
    </border>
    <border>
      <left/>
      <right style="thin">
        <color rgb="FFB9C4D6"/>
      </right>
      <top style="thin">
        <color rgb="FFB9C4D6"/>
      </top>
      <bottom style="thin">
        <color rgb="FFB9C4D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5" fillId="3" borderId="1" xfId="0" applyFont="1" applyFill="1" applyBorder="1"/>
    <xf numFmtId="0" fontId="6" fillId="0" borderId="1" xfId="0" applyFont="1" applyBorder="1"/>
    <xf numFmtId="0" fontId="5" fillId="4" borderId="1" xfId="0" applyFont="1" applyFill="1" applyBorder="1"/>
    <xf numFmtId="0" fontId="5" fillId="2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" fontId="11" fillId="4" borderId="1" xfId="0" applyNumberFormat="1" applyFont="1" applyFill="1" applyBorder="1" applyAlignment="1">
      <alignment vertical="top" wrapText="1"/>
    </xf>
    <xf numFmtId="4" fontId="9" fillId="2" borderId="1" xfId="0" applyNumberFormat="1" applyFont="1" applyFill="1" applyBorder="1" applyAlignment="1">
      <alignment vertical="top" wrapText="1"/>
    </xf>
    <xf numFmtId="4" fontId="9" fillId="0" borderId="1" xfId="0" applyNumberFormat="1" applyFont="1" applyBorder="1" applyAlignment="1">
      <alignment vertical="top" wrapText="1"/>
    </xf>
    <xf numFmtId="4" fontId="12" fillId="4" borderId="1" xfId="0" applyNumberFormat="1" applyFont="1" applyFill="1" applyBorder="1"/>
    <xf numFmtId="0" fontId="12" fillId="4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5" fillId="4" borderId="1" xfId="0" applyFont="1" applyFill="1" applyBorder="1" applyAlignment="1">
      <alignment horizontal="center"/>
    </xf>
    <xf numFmtId="0" fontId="17" fillId="0" borderId="0" xfId="0" applyFont="1"/>
    <xf numFmtId="164" fontId="9" fillId="0" borderId="1" xfId="0" applyNumberFormat="1" applyFont="1" applyBorder="1" applyAlignment="1">
      <alignment vertical="top" wrapText="1"/>
    </xf>
    <xf numFmtId="164" fontId="11" fillId="4" borderId="1" xfId="0" applyNumberFormat="1" applyFont="1" applyFill="1" applyBorder="1" applyAlignment="1">
      <alignment vertical="top" wrapText="1"/>
    </xf>
    <xf numFmtId="164" fontId="9" fillId="2" borderId="1" xfId="0" applyNumberFormat="1" applyFont="1" applyFill="1" applyBorder="1" applyAlignment="1">
      <alignment vertical="top" wrapText="1"/>
    </xf>
    <xf numFmtId="0" fontId="18" fillId="0" borderId="0" xfId="0" applyFont="1"/>
    <xf numFmtId="0" fontId="19" fillId="0" borderId="0" xfId="0" applyFont="1"/>
    <xf numFmtId="0" fontId="20" fillId="0" borderId="1" xfId="0" applyFont="1" applyBorder="1" applyAlignment="1">
      <alignment vertical="top" wrapText="1"/>
    </xf>
    <xf numFmtId="0" fontId="20" fillId="7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6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2E"/>
      <rgbColor rgb="FF800080"/>
      <rgbColor rgb="FF008080"/>
      <rgbColor rgb="FFB9C4D6"/>
      <rgbColor rgb="FF808080"/>
      <rgbColor rgb="FF9999FF"/>
      <rgbColor rgb="FF993366"/>
      <rgbColor rgb="FFFFF6D6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AEA"/>
      <rgbColor rgb="FFCCFFCC"/>
      <rgbColor rgb="FFFDF4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80"/>
      <rgbColor rgb="FF969696"/>
      <rgbColor rgb="FF1F3A6E"/>
      <rgbColor rgb="FF339966"/>
      <rgbColor rgb="FF003300"/>
      <rgbColor rgb="FF333300"/>
      <rgbColor rgb="FF7A5C00"/>
      <rgbColor rgb="FF993366"/>
      <rgbColor rgb="FF333399"/>
      <rgbColor rgb="FF1C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abSelected="1" zoomScaleNormal="100" workbookViewId="0">
      <selection sqref="A1:F1"/>
    </sheetView>
  </sheetViews>
  <sheetFormatPr baseColWidth="10" defaultColWidth="8.6640625" defaultRowHeight="14.4" x14ac:dyDescent="0.3"/>
  <cols>
    <col min="1" max="1" width="22" customWidth="1"/>
    <col min="2" max="2" width="96" customWidth="1"/>
  </cols>
  <sheetData>
    <row r="1" spans="1:6" ht="19.5" customHeight="1" x14ac:dyDescent="0.3">
      <c r="A1" s="38" t="s">
        <v>0</v>
      </c>
      <c r="B1" s="37"/>
      <c r="C1" s="37"/>
      <c r="D1" s="37"/>
      <c r="E1" s="37"/>
      <c r="F1" s="37"/>
    </row>
    <row r="2" spans="1:6" ht="25.5" customHeight="1" x14ac:dyDescent="0.3">
      <c r="A2" s="36" t="s">
        <v>1</v>
      </c>
      <c r="B2" s="37"/>
      <c r="C2" s="37"/>
      <c r="D2" s="37"/>
      <c r="E2" s="37"/>
      <c r="F2" s="37"/>
    </row>
    <row r="4" spans="1:6" ht="57.75" customHeight="1" x14ac:dyDescent="0.3">
      <c r="A4" s="1" t="s">
        <v>2</v>
      </c>
      <c r="B4" s="2" t="s">
        <v>3</v>
      </c>
    </row>
    <row r="5" spans="1:6" ht="57.75" customHeight="1" x14ac:dyDescent="0.3">
      <c r="A5" s="3" t="s">
        <v>4</v>
      </c>
      <c r="B5" s="4" t="s">
        <v>5</v>
      </c>
    </row>
    <row r="6" spans="1:6" ht="57.75" customHeight="1" x14ac:dyDescent="0.3">
      <c r="A6" s="1" t="s">
        <v>6</v>
      </c>
      <c r="B6" s="2" t="s">
        <v>7</v>
      </c>
    </row>
    <row r="7" spans="1:6" ht="57.75" customHeight="1" x14ac:dyDescent="0.3">
      <c r="A7" s="3" t="s">
        <v>8</v>
      </c>
      <c r="B7" s="4" t="s">
        <v>9</v>
      </c>
    </row>
    <row r="8" spans="1:6" ht="57.75" customHeight="1" x14ac:dyDescent="0.3">
      <c r="A8" s="1" t="s">
        <v>10</v>
      </c>
      <c r="B8" s="2" t="s">
        <v>11</v>
      </c>
    </row>
    <row r="9" spans="1:6" ht="57.75" customHeight="1" x14ac:dyDescent="0.3">
      <c r="A9" s="3" t="s">
        <v>12</v>
      </c>
      <c r="B9" s="4" t="s">
        <v>13</v>
      </c>
    </row>
    <row r="10" spans="1:6" ht="57.75" customHeight="1" x14ac:dyDescent="0.3">
      <c r="A10" s="1" t="s">
        <v>14</v>
      </c>
      <c r="B10" s="2" t="s">
        <v>15</v>
      </c>
    </row>
    <row r="12" spans="1:6" ht="15" customHeight="1" x14ac:dyDescent="0.3">
      <c r="A12" s="5" t="s">
        <v>16</v>
      </c>
    </row>
    <row r="13" spans="1:6" ht="15" customHeight="1" x14ac:dyDescent="0.3">
      <c r="A13" s="6" t="s">
        <v>17</v>
      </c>
      <c r="B13" s="7" t="s">
        <v>18</v>
      </c>
    </row>
    <row r="14" spans="1:6" ht="15" customHeight="1" x14ac:dyDescent="0.3">
      <c r="A14" s="8" t="s">
        <v>19</v>
      </c>
      <c r="B14" s="7" t="s">
        <v>20</v>
      </c>
    </row>
    <row r="15" spans="1:6" ht="15" customHeight="1" x14ac:dyDescent="0.3">
      <c r="A15" s="9" t="s">
        <v>21</v>
      </c>
      <c r="B15" s="7" t="s">
        <v>22</v>
      </c>
    </row>
    <row r="17" spans="1:2" ht="40.049999999999997" customHeight="1" x14ac:dyDescent="0.3">
      <c r="A17" s="3" t="s">
        <v>23</v>
      </c>
      <c r="B17" s="4" t="s">
        <v>24</v>
      </c>
    </row>
    <row r="18" spans="1:2" ht="40.049999999999997" customHeight="1" x14ac:dyDescent="0.3">
      <c r="A18" s="3" t="s">
        <v>25</v>
      </c>
      <c r="B18" s="4" t="s">
        <v>26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1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9" customWidth="1"/>
    <col min="2" max="2" width="40" customWidth="1"/>
    <col min="3" max="3" width="13" customWidth="1"/>
    <col min="4" max="4" width="18" customWidth="1"/>
    <col min="5" max="5" width="11" customWidth="1"/>
    <col min="6" max="6" width="26" customWidth="1"/>
    <col min="7" max="7" width="46" customWidth="1"/>
    <col min="8" max="8" width="20" customWidth="1"/>
    <col min="9" max="9" width="15" customWidth="1"/>
    <col min="10" max="10" width="12" customWidth="1"/>
    <col min="11" max="11" width="13" customWidth="1"/>
    <col min="12" max="12" width="20" customWidth="1"/>
  </cols>
  <sheetData>
    <row r="1" spans="1:12" ht="19.5" customHeight="1" x14ac:dyDescent="0.3">
      <c r="A1" s="38" t="s">
        <v>27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5.5" customHeight="1" x14ac:dyDescent="0.3">
      <c r="A2" s="36" t="s">
        <v>28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30" customHeight="1" x14ac:dyDescent="0.3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  <c r="K4" s="10" t="s">
        <v>39</v>
      </c>
      <c r="L4" s="10" t="s">
        <v>40</v>
      </c>
    </row>
    <row r="5" spans="1:12" ht="90" customHeight="1" x14ac:dyDescent="0.3">
      <c r="A5" s="13" t="s">
        <v>41</v>
      </c>
      <c r="B5" s="13" t="s">
        <v>42</v>
      </c>
      <c r="C5" s="13" t="s">
        <v>43</v>
      </c>
      <c r="D5" s="13"/>
      <c r="E5" s="13" t="s">
        <v>44</v>
      </c>
      <c r="F5" s="13" t="s">
        <v>45</v>
      </c>
      <c r="G5" s="13" t="s">
        <v>46</v>
      </c>
      <c r="H5" s="13" t="s">
        <v>47</v>
      </c>
      <c r="I5" s="13" t="s">
        <v>48</v>
      </c>
      <c r="J5" s="13">
        <v>2</v>
      </c>
      <c r="K5" s="13" t="s">
        <v>49</v>
      </c>
      <c r="L5" s="11" t="str">
        <f t="shared" ref="L5:L36" si="0">IF($A5="","",IF(COUNTBLANK($B5:$C5)+COUNTBLANK($E5:$H5)&gt;0,"Faltan campos",IF(AND($C5="No funcional",$D5=""),"Falta categoría",IF($K5="","Falta definir si integra el MVP","Fila completa"))))</f>
        <v>Fila completa</v>
      </c>
    </row>
    <row r="6" spans="1:12" ht="90" customHeight="1" x14ac:dyDescent="0.3">
      <c r="A6" s="12" t="s">
        <v>50</v>
      </c>
      <c r="B6" s="12" t="s">
        <v>51</v>
      </c>
      <c r="C6" s="12" t="s">
        <v>43</v>
      </c>
      <c r="D6" s="12"/>
      <c r="E6" s="12" t="s">
        <v>44</v>
      </c>
      <c r="F6" s="12" t="s">
        <v>52</v>
      </c>
      <c r="G6" s="12" t="s">
        <v>53</v>
      </c>
      <c r="H6" s="12" t="s">
        <v>54</v>
      </c>
      <c r="I6" s="12" t="s">
        <v>48</v>
      </c>
      <c r="J6" s="12">
        <v>2</v>
      </c>
      <c r="K6" s="12" t="s">
        <v>49</v>
      </c>
      <c r="L6" s="11" t="str">
        <f t="shared" si="0"/>
        <v>Fila completa</v>
      </c>
    </row>
    <row r="7" spans="1:12" ht="114" customHeight="1" x14ac:dyDescent="0.3">
      <c r="A7" s="13" t="s">
        <v>55</v>
      </c>
      <c r="B7" s="13" t="s">
        <v>56</v>
      </c>
      <c r="C7" s="13" t="s">
        <v>43</v>
      </c>
      <c r="D7" s="13"/>
      <c r="E7" s="13" t="s">
        <v>44</v>
      </c>
      <c r="F7" s="13" t="s">
        <v>57</v>
      </c>
      <c r="G7" s="13" t="s">
        <v>58</v>
      </c>
      <c r="H7" s="13" t="s">
        <v>59</v>
      </c>
      <c r="I7" s="13" t="s">
        <v>48</v>
      </c>
      <c r="J7" s="13">
        <v>2</v>
      </c>
      <c r="K7" s="13" t="s">
        <v>49</v>
      </c>
      <c r="L7" s="11" t="str">
        <f t="shared" si="0"/>
        <v>Fila completa</v>
      </c>
    </row>
    <row r="8" spans="1:12" ht="78" customHeight="1" x14ac:dyDescent="0.3">
      <c r="A8" s="12" t="s">
        <v>60</v>
      </c>
      <c r="B8" s="12" t="s">
        <v>61</v>
      </c>
      <c r="C8" s="12" t="s">
        <v>43</v>
      </c>
      <c r="D8" s="12"/>
      <c r="E8" s="12" t="s">
        <v>44</v>
      </c>
      <c r="F8" s="12" t="s">
        <v>62</v>
      </c>
      <c r="G8" s="12" t="s">
        <v>63</v>
      </c>
      <c r="H8" s="12" t="s">
        <v>64</v>
      </c>
      <c r="I8" s="12" t="s">
        <v>48</v>
      </c>
      <c r="J8" s="12">
        <v>2</v>
      </c>
      <c r="K8" s="12" t="s">
        <v>49</v>
      </c>
      <c r="L8" s="11" t="str">
        <f t="shared" si="0"/>
        <v>Fila completa</v>
      </c>
    </row>
    <row r="9" spans="1:12" ht="66" customHeight="1" x14ac:dyDescent="0.3">
      <c r="A9" s="13" t="s">
        <v>65</v>
      </c>
      <c r="B9" s="13" t="s">
        <v>66</v>
      </c>
      <c r="C9" s="13" t="s">
        <v>43</v>
      </c>
      <c r="D9" s="13"/>
      <c r="E9" s="13" t="s">
        <v>44</v>
      </c>
      <c r="F9" s="13" t="s">
        <v>67</v>
      </c>
      <c r="G9" s="13" t="s">
        <v>68</v>
      </c>
      <c r="H9" s="13" t="s">
        <v>64</v>
      </c>
      <c r="I9" s="13" t="s">
        <v>48</v>
      </c>
      <c r="J9" s="13">
        <v>2</v>
      </c>
      <c r="K9" s="13" t="s">
        <v>49</v>
      </c>
      <c r="L9" s="11" t="str">
        <f t="shared" si="0"/>
        <v>Fila completa</v>
      </c>
    </row>
    <row r="10" spans="1:12" ht="90" customHeight="1" x14ac:dyDescent="0.3">
      <c r="A10" s="12" t="s">
        <v>69</v>
      </c>
      <c r="B10" s="12" t="s">
        <v>70</v>
      </c>
      <c r="C10" s="12" t="s">
        <v>43</v>
      </c>
      <c r="D10" s="12"/>
      <c r="E10" s="12" t="s">
        <v>44</v>
      </c>
      <c r="F10" s="12" t="s">
        <v>71</v>
      </c>
      <c r="G10" s="12" t="s">
        <v>72</v>
      </c>
      <c r="H10" s="12" t="s">
        <v>73</v>
      </c>
      <c r="I10" s="12" t="s">
        <v>48</v>
      </c>
      <c r="J10" s="12">
        <v>2</v>
      </c>
      <c r="K10" s="12" t="s">
        <v>49</v>
      </c>
      <c r="L10" s="11" t="str">
        <f t="shared" si="0"/>
        <v>Fila completa</v>
      </c>
    </row>
    <row r="11" spans="1:12" ht="66" customHeight="1" x14ac:dyDescent="0.3">
      <c r="A11" s="13" t="s">
        <v>74</v>
      </c>
      <c r="B11" s="13" t="s">
        <v>75</v>
      </c>
      <c r="C11" s="13" t="s">
        <v>43</v>
      </c>
      <c r="D11" s="13"/>
      <c r="E11" s="13" t="s">
        <v>44</v>
      </c>
      <c r="F11" s="13" t="s">
        <v>76</v>
      </c>
      <c r="G11" s="13" t="s">
        <v>77</v>
      </c>
      <c r="H11" s="13" t="s">
        <v>78</v>
      </c>
      <c r="I11" s="13" t="s">
        <v>48</v>
      </c>
      <c r="J11" s="13">
        <v>2</v>
      </c>
      <c r="K11" s="13" t="s">
        <v>49</v>
      </c>
      <c r="L11" s="11" t="str">
        <f t="shared" si="0"/>
        <v>Fila completa</v>
      </c>
    </row>
    <row r="12" spans="1:12" ht="102" customHeight="1" x14ac:dyDescent="0.3">
      <c r="A12" s="12" t="s">
        <v>79</v>
      </c>
      <c r="B12" s="12" t="s">
        <v>80</v>
      </c>
      <c r="C12" s="12" t="s">
        <v>43</v>
      </c>
      <c r="D12" s="12"/>
      <c r="E12" s="12" t="s">
        <v>44</v>
      </c>
      <c r="F12" s="12" t="s">
        <v>81</v>
      </c>
      <c r="G12" s="12" t="s">
        <v>82</v>
      </c>
      <c r="H12" s="12" t="s">
        <v>83</v>
      </c>
      <c r="I12" s="12" t="s">
        <v>48</v>
      </c>
      <c r="J12" s="12">
        <v>3</v>
      </c>
      <c r="K12" s="12" t="s">
        <v>49</v>
      </c>
      <c r="L12" s="11" t="str">
        <f t="shared" si="0"/>
        <v>Fila completa</v>
      </c>
    </row>
    <row r="13" spans="1:12" ht="78" customHeight="1" x14ac:dyDescent="0.3">
      <c r="A13" s="13" t="s">
        <v>84</v>
      </c>
      <c r="B13" s="13" t="s">
        <v>85</v>
      </c>
      <c r="C13" s="13" t="s">
        <v>43</v>
      </c>
      <c r="D13" s="13"/>
      <c r="E13" s="13" t="s">
        <v>44</v>
      </c>
      <c r="F13" s="13" t="s">
        <v>86</v>
      </c>
      <c r="G13" s="13" t="s">
        <v>87</v>
      </c>
      <c r="H13" s="13" t="s">
        <v>88</v>
      </c>
      <c r="I13" s="13" t="s">
        <v>48</v>
      </c>
      <c r="J13" s="13">
        <v>3</v>
      </c>
      <c r="K13" s="13" t="s">
        <v>49</v>
      </c>
      <c r="L13" s="11" t="str">
        <f t="shared" si="0"/>
        <v>Fila completa</v>
      </c>
    </row>
    <row r="14" spans="1:12" ht="66" customHeight="1" x14ac:dyDescent="0.3">
      <c r="A14" s="12" t="s">
        <v>89</v>
      </c>
      <c r="B14" s="12" t="s">
        <v>90</v>
      </c>
      <c r="C14" s="12" t="s">
        <v>43</v>
      </c>
      <c r="D14" s="12"/>
      <c r="E14" s="12" t="s">
        <v>91</v>
      </c>
      <c r="F14" s="12" t="s">
        <v>92</v>
      </c>
      <c r="G14" s="12" t="s">
        <v>93</v>
      </c>
      <c r="H14" s="12" t="s">
        <v>94</v>
      </c>
      <c r="I14" s="12" t="s">
        <v>48</v>
      </c>
      <c r="J14" s="12">
        <v>4</v>
      </c>
      <c r="K14" s="12" t="s">
        <v>95</v>
      </c>
      <c r="L14" s="11" t="str">
        <f t="shared" si="0"/>
        <v>Fila completa</v>
      </c>
    </row>
    <row r="15" spans="1:12" ht="66" customHeight="1" x14ac:dyDescent="0.3">
      <c r="A15" s="13" t="s">
        <v>96</v>
      </c>
      <c r="B15" s="13" t="s">
        <v>97</v>
      </c>
      <c r="C15" s="13" t="s">
        <v>43</v>
      </c>
      <c r="D15" s="13"/>
      <c r="E15" s="13" t="s">
        <v>91</v>
      </c>
      <c r="F15" s="13" t="s">
        <v>98</v>
      </c>
      <c r="G15" s="13" t="s">
        <v>99</v>
      </c>
      <c r="H15" s="13" t="s">
        <v>100</v>
      </c>
      <c r="I15" s="13" t="s">
        <v>48</v>
      </c>
      <c r="J15" s="13">
        <v>4</v>
      </c>
      <c r="K15" s="13" t="s">
        <v>95</v>
      </c>
      <c r="L15" s="11" t="str">
        <f t="shared" si="0"/>
        <v>Fila completa</v>
      </c>
    </row>
    <row r="16" spans="1:12" ht="66" customHeight="1" x14ac:dyDescent="0.3">
      <c r="A16" s="12" t="s">
        <v>101</v>
      </c>
      <c r="B16" s="12" t="s">
        <v>102</v>
      </c>
      <c r="C16" s="12" t="s">
        <v>43</v>
      </c>
      <c r="D16" s="12"/>
      <c r="E16" s="12" t="s">
        <v>103</v>
      </c>
      <c r="F16" s="12" t="s">
        <v>104</v>
      </c>
      <c r="G16" s="12" t="s">
        <v>105</v>
      </c>
      <c r="H16" s="12" t="s">
        <v>106</v>
      </c>
      <c r="I16" s="12" t="s">
        <v>48</v>
      </c>
      <c r="J16" s="12">
        <v>4</v>
      </c>
      <c r="K16" s="12" t="s">
        <v>95</v>
      </c>
      <c r="L16" s="11" t="str">
        <f t="shared" si="0"/>
        <v>Fila completa</v>
      </c>
    </row>
    <row r="17" spans="1:12" ht="66" customHeight="1" x14ac:dyDescent="0.3">
      <c r="A17" s="13" t="s">
        <v>107</v>
      </c>
      <c r="B17" s="13" t="s">
        <v>108</v>
      </c>
      <c r="C17" s="13" t="s">
        <v>43</v>
      </c>
      <c r="D17" s="13"/>
      <c r="E17" s="13" t="s">
        <v>109</v>
      </c>
      <c r="F17" s="13" t="s">
        <v>110</v>
      </c>
      <c r="G17" s="13" t="s">
        <v>111</v>
      </c>
      <c r="H17" s="13" t="s">
        <v>112</v>
      </c>
      <c r="I17" s="13" t="s">
        <v>48</v>
      </c>
      <c r="J17" s="13" t="s">
        <v>113</v>
      </c>
      <c r="K17" s="13" t="s">
        <v>95</v>
      </c>
      <c r="L17" s="11" t="str">
        <f t="shared" si="0"/>
        <v>Fila completa</v>
      </c>
    </row>
    <row r="18" spans="1:12" ht="126" customHeight="1" x14ac:dyDescent="0.3">
      <c r="A18" s="12" t="s">
        <v>114</v>
      </c>
      <c r="B18" s="12" t="s">
        <v>115</v>
      </c>
      <c r="C18" s="12" t="s">
        <v>116</v>
      </c>
      <c r="D18" s="12" t="s">
        <v>117</v>
      </c>
      <c r="E18" s="12" t="s">
        <v>44</v>
      </c>
      <c r="F18" s="12" t="s">
        <v>118</v>
      </c>
      <c r="G18" s="12" t="s">
        <v>119</v>
      </c>
      <c r="H18" s="12" t="s">
        <v>120</v>
      </c>
      <c r="I18" s="12" t="s">
        <v>48</v>
      </c>
      <c r="J18" s="12">
        <v>2</v>
      </c>
      <c r="K18" s="12" t="s">
        <v>49</v>
      </c>
      <c r="L18" s="11" t="str">
        <f t="shared" si="0"/>
        <v>Fila completa</v>
      </c>
    </row>
    <row r="19" spans="1:12" ht="66" customHeight="1" x14ac:dyDescent="0.3">
      <c r="A19" s="13" t="s">
        <v>121</v>
      </c>
      <c r="B19" s="13" t="s">
        <v>122</v>
      </c>
      <c r="C19" s="13" t="s">
        <v>116</v>
      </c>
      <c r="D19" s="13" t="s">
        <v>123</v>
      </c>
      <c r="E19" s="13" t="s">
        <v>44</v>
      </c>
      <c r="F19" s="13" t="s">
        <v>124</v>
      </c>
      <c r="G19" s="13" t="s">
        <v>125</v>
      </c>
      <c r="H19" s="13" t="s">
        <v>126</v>
      </c>
      <c r="I19" s="13" t="s">
        <v>48</v>
      </c>
      <c r="J19" s="13">
        <v>3</v>
      </c>
      <c r="K19" s="13" t="s">
        <v>49</v>
      </c>
      <c r="L19" s="11" t="str">
        <f t="shared" si="0"/>
        <v>Fila completa</v>
      </c>
    </row>
    <row r="20" spans="1:12" ht="90" customHeight="1" x14ac:dyDescent="0.3">
      <c r="A20" s="12" t="s">
        <v>127</v>
      </c>
      <c r="B20" s="12" t="s">
        <v>128</v>
      </c>
      <c r="C20" s="12" t="s">
        <v>116</v>
      </c>
      <c r="D20" s="12" t="s">
        <v>129</v>
      </c>
      <c r="E20" s="12" t="s">
        <v>44</v>
      </c>
      <c r="F20" s="12" t="s">
        <v>130</v>
      </c>
      <c r="G20" s="12" t="s">
        <v>131</v>
      </c>
      <c r="H20" s="12" t="s">
        <v>132</v>
      </c>
      <c r="I20" s="12" t="s">
        <v>48</v>
      </c>
      <c r="J20" s="12">
        <v>2</v>
      </c>
      <c r="K20" s="12" t="s">
        <v>49</v>
      </c>
      <c r="L20" s="11" t="str">
        <f t="shared" si="0"/>
        <v>Fila completa</v>
      </c>
    </row>
    <row r="21" spans="1:12" ht="114" customHeight="1" x14ac:dyDescent="0.3">
      <c r="A21" s="13" t="s">
        <v>133</v>
      </c>
      <c r="B21" s="13" t="s">
        <v>134</v>
      </c>
      <c r="C21" s="13" t="s">
        <v>116</v>
      </c>
      <c r="D21" s="13" t="s">
        <v>135</v>
      </c>
      <c r="E21" s="13" t="s">
        <v>44</v>
      </c>
      <c r="F21" s="13" t="s">
        <v>136</v>
      </c>
      <c r="G21" s="13" t="s">
        <v>137</v>
      </c>
      <c r="H21" s="13" t="s">
        <v>138</v>
      </c>
      <c r="I21" s="13" t="s">
        <v>48</v>
      </c>
      <c r="J21" s="13">
        <v>3</v>
      </c>
      <c r="K21" s="13" t="s">
        <v>49</v>
      </c>
      <c r="L21" s="11" t="str">
        <f t="shared" si="0"/>
        <v>Fila completa</v>
      </c>
    </row>
    <row r="22" spans="1:12" ht="78" customHeight="1" x14ac:dyDescent="0.3">
      <c r="A22" s="12" t="s">
        <v>139</v>
      </c>
      <c r="B22" s="12" t="s">
        <v>140</v>
      </c>
      <c r="C22" s="12" t="s">
        <v>116</v>
      </c>
      <c r="D22" s="12" t="s">
        <v>141</v>
      </c>
      <c r="E22" s="12" t="s">
        <v>44</v>
      </c>
      <c r="F22" s="12" t="s">
        <v>142</v>
      </c>
      <c r="G22" s="12" t="s">
        <v>143</v>
      </c>
      <c r="H22" s="12" t="s">
        <v>144</v>
      </c>
      <c r="I22" s="12" t="s">
        <v>48</v>
      </c>
      <c r="J22" s="12">
        <v>2</v>
      </c>
      <c r="K22" s="12" t="s">
        <v>49</v>
      </c>
      <c r="L22" s="11" t="str">
        <f t="shared" si="0"/>
        <v>Fila completa</v>
      </c>
    </row>
    <row r="23" spans="1:12" ht="54" customHeight="1" x14ac:dyDescent="0.3">
      <c r="A23" s="13" t="s">
        <v>145</v>
      </c>
      <c r="B23" s="13" t="s">
        <v>146</v>
      </c>
      <c r="C23" s="13" t="s">
        <v>116</v>
      </c>
      <c r="D23" s="13" t="s">
        <v>117</v>
      </c>
      <c r="E23" s="13" t="s">
        <v>91</v>
      </c>
      <c r="F23" s="13" t="s">
        <v>147</v>
      </c>
      <c r="G23" s="13" t="s">
        <v>148</v>
      </c>
      <c r="H23" s="13" t="s">
        <v>149</v>
      </c>
      <c r="I23" s="13" t="s">
        <v>48</v>
      </c>
      <c r="J23" s="13">
        <v>4</v>
      </c>
      <c r="K23" s="13" t="s">
        <v>95</v>
      </c>
      <c r="L23" s="11" t="str">
        <f t="shared" si="0"/>
        <v>Fila completa</v>
      </c>
    </row>
    <row r="24" spans="1:12" ht="66" customHeight="1" x14ac:dyDescent="0.3">
      <c r="A24" s="12" t="s">
        <v>150</v>
      </c>
      <c r="B24" s="12" t="s">
        <v>151</v>
      </c>
      <c r="C24" s="12" t="s">
        <v>116</v>
      </c>
      <c r="D24" s="12" t="s">
        <v>152</v>
      </c>
      <c r="E24" s="12" t="s">
        <v>91</v>
      </c>
      <c r="F24" s="12" t="s">
        <v>153</v>
      </c>
      <c r="G24" s="12" t="s">
        <v>154</v>
      </c>
      <c r="H24" s="12" t="s">
        <v>155</v>
      </c>
      <c r="I24" s="12" t="s">
        <v>48</v>
      </c>
      <c r="J24" s="12">
        <v>3</v>
      </c>
      <c r="K24" s="12" t="s">
        <v>95</v>
      </c>
      <c r="L24" s="11" t="str">
        <f t="shared" si="0"/>
        <v>Fila completa</v>
      </c>
    </row>
    <row r="25" spans="1:12" ht="138" customHeight="1" x14ac:dyDescent="0.3">
      <c r="A25" s="13" t="s">
        <v>156</v>
      </c>
      <c r="B25" s="13" t="s">
        <v>157</v>
      </c>
      <c r="C25" s="13" t="s">
        <v>116</v>
      </c>
      <c r="D25" s="13" t="s">
        <v>129</v>
      </c>
      <c r="E25" s="13" t="s">
        <v>44</v>
      </c>
      <c r="F25" s="13" t="s">
        <v>158</v>
      </c>
      <c r="G25" s="13" t="s">
        <v>159</v>
      </c>
      <c r="H25" s="13" t="s">
        <v>160</v>
      </c>
      <c r="I25" s="13" t="s">
        <v>48</v>
      </c>
      <c r="J25" s="13">
        <v>3</v>
      </c>
      <c r="K25" s="13" t="s">
        <v>49</v>
      </c>
      <c r="L25" s="11" t="str">
        <f t="shared" si="0"/>
        <v>Fila completa</v>
      </c>
    </row>
    <row r="26" spans="1:12" ht="126" customHeight="1" x14ac:dyDescent="0.3">
      <c r="A26" s="12" t="s">
        <v>161</v>
      </c>
      <c r="B26" s="12" t="s">
        <v>162</v>
      </c>
      <c r="C26" s="12" t="s">
        <v>116</v>
      </c>
      <c r="D26" s="12" t="s">
        <v>117</v>
      </c>
      <c r="E26" s="12" t="s">
        <v>91</v>
      </c>
      <c r="F26" s="12" t="s">
        <v>163</v>
      </c>
      <c r="G26" s="12" t="s">
        <v>164</v>
      </c>
      <c r="H26" s="12" t="s">
        <v>149</v>
      </c>
      <c r="I26" s="12" t="s">
        <v>48</v>
      </c>
      <c r="J26" s="12">
        <v>4</v>
      </c>
      <c r="K26" s="12" t="s">
        <v>95</v>
      </c>
      <c r="L26" s="11" t="str">
        <f t="shared" si="0"/>
        <v>Fila completa</v>
      </c>
    </row>
    <row r="27" spans="1:12" ht="33.75" customHeight="1" x14ac:dyDescent="0.3">
      <c r="A27" s="12" t="s">
        <v>165</v>
      </c>
      <c r="B27" s="12" t="s">
        <v>166</v>
      </c>
      <c r="C27" s="12" t="s">
        <v>43</v>
      </c>
      <c r="D27" s="13"/>
      <c r="E27" s="12" t="s">
        <v>91</v>
      </c>
      <c r="F27" s="12" t="s">
        <v>167</v>
      </c>
      <c r="G27" s="12" t="s">
        <v>168</v>
      </c>
      <c r="H27" s="12" t="s">
        <v>169</v>
      </c>
      <c r="I27" s="12" t="s">
        <v>48</v>
      </c>
      <c r="J27" s="12">
        <v>3</v>
      </c>
      <c r="K27" s="12" t="s">
        <v>95</v>
      </c>
      <c r="L27" s="11" t="str">
        <f t="shared" si="0"/>
        <v>Fila completa</v>
      </c>
    </row>
    <row r="28" spans="1:12" ht="33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1" t="str">
        <f t="shared" si="0"/>
        <v/>
      </c>
    </row>
    <row r="29" spans="1:12" ht="33.75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" t="str">
        <f t="shared" si="0"/>
        <v/>
      </c>
    </row>
    <row r="30" spans="1:12" ht="33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1" t="str">
        <f t="shared" si="0"/>
        <v/>
      </c>
    </row>
    <row r="31" spans="1:12" ht="33.75" customHeigh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1" t="str">
        <f t="shared" si="0"/>
        <v/>
      </c>
    </row>
    <row r="32" spans="1:12" ht="33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1" t="str">
        <f t="shared" si="0"/>
        <v/>
      </c>
    </row>
    <row r="33" spans="1:12" ht="33.7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1" t="str">
        <f t="shared" si="0"/>
        <v/>
      </c>
    </row>
    <row r="34" spans="1:12" ht="33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1" t="str">
        <f t="shared" si="0"/>
        <v/>
      </c>
    </row>
    <row r="35" spans="1:12" ht="33.7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1" t="str">
        <f t="shared" si="0"/>
        <v/>
      </c>
    </row>
    <row r="36" spans="1:12" ht="33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1" t="str">
        <f t="shared" si="0"/>
        <v/>
      </c>
    </row>
    <row r="37" spans="1:12" ht="33.75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1" t="str">
        <f t="shared" ref="L37:L68" si="1">IF($A37="","",IF(COUNTBLANK($B37:$C37)+COUNTBLANK($E37:$H37)&gt;0,"Faltan campos",IF(AND($C37="No funcional",$D37=""),"Falta categoría",IF($K37="","Falta definir si integra el MVP","Fila completa"))))</f>
        <v/>
      </c>
    </row>
    <row r="38" spans="1:12" ht="33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1" t="str">
        <f t="shared" si="1"/>
        <v/>
      </c>
    </row>
    <row r="39" spans="1:12" ht="33.7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1" t="str">
        <f t="shared" si="1"/>
        <v/>
      </c>
    </row>
    <row r="40" spans="1:12" ht="33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1" t="str">
        <f t="shared" si="1"/>
        <v/>
      </c>
    </row>
    <row r="41" spans="1:12" ht="33.7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1" t="str">
        <f t="shared" si="1"/>
        <v/>
      </c>
    </row>
    <row r="42" spans="1:12" ht="33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1" t="str">
        <f t="shared" si="1"/>
        <v/>
      </c>
    </row>
    <row r="43" spans="1:12" ht="33.7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" t="str">
        <f t="shared" si="1"/>
        <v/>
      </c>
    </row>
    <row r="44" spans="1:12" ht="33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1" t="str">
        <f t="shared" si="1"/>
        <v/>
      </c>
    </row>
    <row r="45" spans="1:12" ht="33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" t="str">
        <f t="shared" si="1"/>
        <v/>
      </c>
    </row>
    <row r="46" spans="1:12" ht="33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1" t="str">
        <f t="shared" si="1"/>
        <v/>
      </c>
    </row>
    <row r="47" spans="1:12" ht="33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" t="str">
        <f t="shared" si="1"/>
        <v/>
      </c>
    </row>
    <row r="48" spans="1:12" ht="33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1" t="str">
        <f t="shared" si="1"/>
        <v/>
      </c>
    </row>
    <row r="49" spans="1:12" ht="33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" t="str">
        <f t="shared" si="1"/>
        <v/>
      </c>
    </row>
    <row r="50" spans="1:12" ht="33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1" t="str">
        <f t="shared" si="1"/>
        <v/>
      </c>
    </row>
    <row r="51" spans="1:12" ht="33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1" t="str">
        <f t="shared" si="1"/>
        <v/>
      </c>
    </row>
    <row r="52" spans="1:12" ht="33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1" t="str">
        <f t="shared" si="1"/>
        <v/>
      </c>
    </row>
    <row r="53" spans="1:12" ht="33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1" t="str">
        <f t="shared" si="1"/>
        <v/>
      </c>
    </row>
    <row r="54" spans="1:12" ht="33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1" t="str">
        <f t="shared" si="1"/>
        <v/>
      </c>
    </row>
    <row r="55" spans="1:12" ht="33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1" t="str">
        <f t="shared" si="1"/>
        <v/>
      </c>
    </row>
    <row r="56" spans="1:12" ht="33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1" t="str">
        <f t="shared" si="1"/>
        <v/>
      </c>
    </row>
    <row r="57" spans="1:12" ht="33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1" t="str">
        <f t="shared" si="1"/>
        <v/>
      </c>
    </row>
    <row r="58" spans="1:12" ht="33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1" t="str">
        <f t="shared" si="1"/>
        <v/>
      </c>
    </row>
    <row r="59" spans="1:12" ht="33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1" t="str">
        <f t="shared" si="1"/>
        <v/>
      </c>
    </row>
    <row r="60" spans="1:12" ht="33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1" t="str">
        <f t="shared" si="1"/>
        <v/>
      </c>
    </row>
    <row r="61" spans="1:12" ht="33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1" t="str">
        <f t="shared" si="1"/>
        <v/>
      </c>
    </row>
    <row r="62" spans="1:12" ht="33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1" t="str">
        <f t="shared" si="1"/>
        <v/>
      </c>
    </row>
    <row r="63" spans="1:12" ht="33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1" t="str">
        <f t="shared" si="1"/>
        <v/>
      </c>
    </row>
    <row r="64" spans="1:12" ht="33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1" t="str">
        <f t="shared" si="1"/>
        <v/>
      </c>
    </row>
    <row r="65" spans="1:12" ht="33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1" t="str">
        <f t="shared" si="1"/>
        <v/>
      </c>
    </row>
    <row r="66" spans="1:12" ht="33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1" t="str">
        <f t="shared" si="1"/>
        <v/>
      </c>
    </row>
    <row r="67" spans="1:12" ht="33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1" t="str">
        <f t="shared" si="1"/>
        <v/>
      </c>
    </row>
    <row r="68" spans="1:12" ht="33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1" t="str">
        <f t="shared" si="1"/>
        <v/>
      </c>
    </row>
    <row r="69" spans="1:12" ht="33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1" t="str">
        <f t="shared" ref="L69:L100" si="2">IF($A69="","",IF(COUNTBLANK($B69:$C69)+COUNTBLANK($E69:$H69)&gt;0,"Faltan campos",IF(AND($C69="No funcional",$D69=""),"Falta categoría",IF($K69="","Falta definir si integra el MVP","Fila completa"))))</f>
        <v/>
      </c>
    </row>
    <row r="70" spans="1:12" ht="33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1" t="str">
        <f t="shared" si="2"/>
        <v/>
      </c>
    </row>
    <row r="71" spans="1:12" ht="33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1" t="str">
        <f t="shared" si="2"/>
        <v/>
      </c>
    </row>
    <row r="72" spans="1:12" ht="33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1" t="str">
        <f t="shared" si="2"/>
        <v/>
      </c>
    </row>
    <row r="73" spans="1:12" ht="33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1" t="str">
        <f t="shared" si="2"/>
        <v/>
      </c>
    </row>
    <row r="74" spans="1:12" ht="33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1" t="str">
        <f t="shared" si="2"/>
        <v/>
      </c>
    </row>
    <row r="75" spans="1:12" ht="33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1" t="str">
        <f t="shared" si="2"/>
        <v/>
      </c>
    </row>
    <row r="76" spans="1:12" ht="33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1" t="str">
        <f t="shared" si="2"/>
        <v/>
      </c>
    </row>
    <row r="77" spans="1:12" ht="33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1" t="str">
        <f t="shared" si="2"/>
        <v/>
      </c>
    </row>
    <row r="78" spans="1:12" ht="33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1" t="str">
        <f t="shared" si="2"/>
        <v/>
      </c>
    </row>
    <row r="79" spans="1:12" ht="33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1" t="str">
        <f t="shared" si="2"/>
        <v/>
      </c>
    </row>
    <row r="80" spans="1:12" ht="33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1" t="str">
        <f t="shared" si="2"/>
        <v/>
      </c>
    </row>
    <row r="81" spans="1:12" ht="33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1" t="str">
        <f t="shared" si="2"/>
        <v/>
      </c>
    </row>
    <row r="82" spans="1:12" ht="33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1" t="str">
        <f t="shared" si="2"/>
        <v/>
      </c>
    </row>
    <row r="83" spans="1:12" ht="33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1" t="str">
        <f t="shared" si="2"/>
        <v/>
      </c>
    </row>
    <row r="84" spans="1:12" ht="33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1" t="str">
        <f t="shared" si="2"/>
        <v/>
      </c>
    </row>
    <row r="85" spans="1:12" ht="33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1" t="str">
        <f t="shared" si="2"/>
        <v/>
      </c>
    </row>
    <row r="86" spans="1:12" ht="33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1" t="str">
        <f t="shared" si="2"/>
        <v/>
      </c>
    </row>
    <row r="87" spans="1:12" ht="33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1" t="str">
        <f t="shared" si="2"/>
        <v/>
      </c>
    </row>
    <row r="88" spans="1:12" ht="33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1" t="str">
        <f t="shared" si="2"/>
        <v/>
      </c>
    </row>
    <row r="89" spans="1:12" ht="33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1" t="str">
        <f t="shared" si="2"/>
        <v/>
      </c>
    </row>
    <row r="90" spans="1:12" ht="33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1" t="str">
        <f t="shared" si="2"/>
        <v/>
      </c>
    </row>
    <row r="91" spans="1:12" ht="33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1" t="str">
        <f t="shared" si="2"/>
        <v/>
      </c>
    </row>
    <row r="92" spans="1:12" ht="33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1" t="str">
        <f t="shared" si="2"/>
        <v/>
      </c>
    </row>
    <row r="93" spans="1:12" ht="33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1" t="str">
        <f t="shared" si="2"/>
        <v/>
      </c>
    </row>
    <row r="94" spans="1:12" ht="33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1" t="str">
        <f t="shared" si="2"/>
        <v/>
      </c>
    </row>
    <row r="95" spans="1:12" ht="33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1" t="str">
        <f t="shared" si="2"/>
        <v/>
      </c>
    </row>
    <row r="96" spans="1:12" ht="33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1" t="str">
        <f t="shared" si="2"/>
        <v/>
      </c>
    </row>
    <row r="97" spans="1:12" ht="33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1" t="str">
        <f t="shared" si="2"/>
        <v/>
      </c>
    </row>
    <row r="98" spans="1:12" ht="33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1" t="str">
        <f t="shared" si="2"/>
        <v/>
      </c>
    </row>
    <row r="99" spans="1:12" ht="33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1" t="str">
        <f t="shared" si="2"/>
        <v/>
      </c>
    </row>
    <row r="100" spans="1:12" ht="33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1" t="str">
        <f t="shared" si="2"/>
        <v/>
      </c>
    </row>
    <row r="101" spans="1:12" ht="33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1" t="str">
        <f t="shared" ref="L101:L132" si="3">IF($A101="","",IF(COUNTBLANK($B101:$C101)+COUNTBLANK($E101:$H101)&gt;0,"Faltan campos",IF(AND($C101="No funcional",$D101=""),"Falta categoría",IF($K101="","Falta definir si integra el MVP","Fila completa"))))</f>
        <v/>
      </c>
    </row>
    <row r="102" spans="1:12" ht="33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1" t="str">
        <f t="shared" si="3"/>
        <v/>
      </c>
    </row>
    <row r="103" spans="1:12" ht="33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1" t="str">
        <f t="shared" si="3"/>
        <v/>
      </c>
    </row>
    <row r="104" spans="1:12" ht="33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1" t="str">
        <f t="shared" si="3"/>
        <v/>
      </c>
    </row>
    <row r="105" spans="1:12" ht="33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1" t="str">
        <f t="shared" si="3"/>
        <v/>
      </c>
    </row>
    <row r="106" spans="1:12" ht="33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1" t="str">
        <f t="shared" si="3"/>
        <v/>
      </c>
    </row>
    <row r="107" spans="1:12" ht="33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1" t="str">
        <f t="shared" si="3"/>
        <v/>
      </c>
    </row>
    <row r="108" spans="1:12" ht="33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1" t="str">
        <f t="shared" si="3"/>
        <v/>
      </c>
    </row>
    <row r="109" spans="1:12" ht="33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1" t="str">
        <f t="shared" si="3"/>
        <v/>
      </c>
    </row>
    <row r="110" spans="1:12" ht="33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1" t="str">
        <f t="shared" si="3"/>
        <v/>
      </c>
    </row>
    <row r="111" spans="1:12" ht="33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1" t="str">
        <f t="shared" si="3"/>
        <v/>
      </c>
    </row>
    <row r="112" spans="1:12" ht="33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1" t="str">
        <f t="shared" si="3"/>
        <v/>
      </c>
    </row>
    <row r="113" spans="1:12" ht="33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1" t="str">
        <f t="shared" si="3"/>
        <v/>
      </c>
    </row>
    <row r="114" spans="1:12" ht="33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1" t="str">
        <f t="shared" si="3"/>
        <v/>
      </c>
    </row>
    <row r="115" spans="1:12" ht="33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1" t="str">
        <f t="shared" si="3"/>
        <v/>
      </c>
    </row>
    <row r="116" spans="1:12" ht="33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1" t="str">
        <f t="shared" si="3"/>
        <v/>
      </c>
    </row>
    <row r="117" spans="1:12" ht="33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1" t="str">
        <f t="shared" si="3"/>
        <v/>
      </c>
    </row>
    <row r="118" spans="1:12" ht="33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1" t="str">
        <f t="shared" si="3"/>
        <v/>
      </c>
    </row>
    <row r="119" spans="1:12" ht="33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1" t="str">
        <f t="shared" si="3"/>
        <v/>
      </c>
    </row>
    <row r="120" spans="1:12" ht="33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1" t="str">
        <f t="shared" si="3"/>
        <v/>
      </c>
    </row>
    <row r="121" spans="1:12" ht="33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1" t="str">
        <f t="shared" si="3"/>
        <v/>
      </c>
    </row>
    <row r="122" spans="1:12" ht="33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1" t="str">
        <f t="shared" si="3"/>
        <v/>
      </c>
    </row>
    <row r="123" spans="1:12" ht="33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1" t="str">
        <f t="shared" si="3"/>
        <v/>
      </c>
    </row>
    <row r="124" spans="1:12" ht="33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1" t="str">
        <f t="shared" si="3"/>
        <v/>
      </c>
    </row>
    <row r="125" spans="1:12" ht="33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1" t="str">
        <f t="shared" si="3"/>
        <v/>
      </c>
    </row>
    <row r="126" spans="1:12" ht="33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1" t="str">
        <f t="shared" si="3"/>
        <v/>
      </c>
    </row>
    <row r="127" spans="1:12" ht="33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1" t="str">
        <f t="shared" si="3"/>
        <v/>
      </c>
    </row>
    <row r="128" spans="1:12" ht="33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1" t="str">
        <f t="shared" si="3"/>
        <v/>
      </c>
    </row>
    <row r="129" spans="1:12" ht="33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1" t="str">
        <f t="shared" si="3"/>
        <v/>
      </c>
    </row>
    <row r="130" spans="1:12" ht="33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1" t="str">
        <f t="shared" si="3"/>
        <v/>
      </c>
    </row>
    <row r="131" spans="1:12" ht="33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1" t="str">
        <f t="shared" si="3"/>
        <v/>
      </c>
    </row>
    <row r="132" spans="1:12" ht="33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1" t="str">
        <f t="shared" si="3"/>
        <v/>
      </c>
    </row>
    <row r="133" spans="1:12" ht="33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1" t="str">
        <f t="shared" ref="L133:L164" si="4">IF($A133="","",IF(COUNTBLANK($B133:$C133)+COUNTBLANK($E133:$H133)&gt;0,"Faltan campos",IF(AND($C133="No funcional",$D133=""),"Falta categoría",IF($K133="","Falta definir si integra el MVP","Fila completa"))))</f>
        <v/>
      </c>
    </row>
    <row r="134" spans="1:12" ht="33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1" t="str">
        <f t="shared" si="4"/>
        <v/>
      </c>
    </row>
    <row r="135" spans="1:12" ht="33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1" t="str">
        <f t="shared" si="4"/>
        <v/>
      </c>
    </row>
    <row r="136" spans="1:12" ht="33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1" t="str">
        <f t="shared" si="4"/>
        <v/>
      </c>
    </row>
    <row r="137" spans="1:12" ht="33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1" t="str">
        <f t="shared" si="4"/>
        <v/>
      </c>
    </row>
    <row r="138" spans="1:12" ht="33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1" t="str">
        <f t="shared" si="4"/>
        <v/>
      </c>
    </row>
    <row r="139" spans="1:12" ht="33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1" t="str">
        <f t="shared" si="4"/>
        <v/>
      </c>
    </row>
    <row r="140" spans="1:12" ht="33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1" t="str">
        <f t="shared" si="4"/>
        <v/>
      </c>
    </row>
    <row r="141" spans="1:12" ht="33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1" t="str">
        <f t="shared" si="4"/>
        <v/>
      </c>
    </row>
    <row r="142" spans="1:12" ht="33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1" t="str">
        <f t="shared" si="4"/>
        <v/>
      </c>
    </row>
    <row r="143" spans="1:12" ht="33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1" t="str">
        <f t="shared" si="4"/>
        <v/>
      </c>
    </row>
    <row r="144" spans="1:12" ht="33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1" t="str">
        <f t="shared" si="4"/>
        <v/>
      </c>
    </row>
    <row r="145" spans="1:12" ht="33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1" t="str">
        <f t="shared" si="4"/>
        <v/>
      </c>
    </row>
    <row r="146" spans="1:12" ht="33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1" t="str">
        <f t="shared" si="4"/>
        <v/>
      </c>
    </row>
    <row r="147" spans="1:12" ht="33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1" t="str">
        <f t="shared" si="4"/>
        <v/>
      </c>
    </row>
    <row r="148" spans="1:12" ht="33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1" t="str">
        <f t="shared" si="4"/>
        <v/>
      </c>
    </row>
    <row r="149" spans="1:12" ht="33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1" t="str">
        <f t="shared" si="4"/>
        <v/>
      </c>
    </row>
    <row r="150" spans="1:12" ht="33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1" t="str">
        <f t="shared" si="4"/>
        <v/>
      </c>
    </row>
    <row r="151" spans="1:12" ht="33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1" t="str">
        <f t="shared" si="4"/>
        <v/>
      </c>
    </row>
    <row r="152" spans="1:12" ht="33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1" t="str">
        <f t="shared" si="4"/>
        <v/>
      </c>
    </row>
    <row r="153" spans="1:12" ht="33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1" t="str">
        <f t="shared" si="4"/>
        <v/>
      </c>
    </row>
    <row r="154" spans="1:12" ht="33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1" t="str">
        <f t="shared" si="4"/>
        <v/>
      </c>
    </row>
    <row r="155" spans="1:12" ht="33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1" t="str">
        <f t="shared" si="4"/>
        <v/>
      </c>
    </row>
    <row r="156" spans="1:12" ht="33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1" t="str">
        <f t="shared" si="4"/>
        <v/>
      </c>
    </row>
    <row r="157" spans="1:12" ht="33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1" t="str">
        <f t="shared" si="4"/>
        <v/>
      </c>
    </row>
    <row r="158" spans="1:12" ht="33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1" t="str">
        <f t="shared" si="4"/>
        <v/>
      </c>
    </row>
    <row r="159" spans="1:12" ht="33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1" t="str">
        <f t="shared" si="4"/>
        <v/>
      </c>
    </row>
    <row r="160" spans="1:12" ht="33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1" t="str">
        <f t="shared" si="4"/>
        <v/>
      </c>
    </row>
    <row r="161" spans="1:12" ht="33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1" t="str">
        <f t="shared" si="4"/>
        <v/>
      </c>
    </row>
    <row r="162" spans="1:12" ht="33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1" t="str">
        <f t="shared" si="4"/>
        <v/>
      </c>
    </row>
    <row r="163" spans="1:12" ht="33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1" t="str">
        <f t="shared" si="4"/>
        <v/>
      </c>
    </row>
    <row r="164" spans="1:12" ht="33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1" t="str">
        <f t="shared" si="4"/>
        <v/>
      </c>
    </row>
    <row r="165" spans="1:12" ht="33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1" t="str">
        <f t="shared" ref="L165:L201" si="5">IF($A165="","",IF(COUNTBLANK($B165:$C165)+COUNTBLANK($E165:$H165)&gt;0,"Faltan campos",IF(AND($C165="No funcional",$D165=""),"Falta categoría",IF($K165="","Falta definir si integra el MVP","Fila completa"))))</f>
        <v/>
      </c>
    </row>
    <row r="166" spans="1:12" ht="33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1" t="str">
        <f t="shared" si="5"/>
        <v/>
      </c>
    </row>
    <row r="167" spans="1:12" ht="33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1" t="str">
        <f t="shared" si="5"/>
        <v/>
      </c>
    </row>
    <row r="168" spans="1:12" ht="33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1" t="str">
        <f t="shared" si="5"/>
        <v/>
      </c>
    </row>
    <row r="169" spans="1:12" ht="33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1" t="str">
        <f t="shared" si="5"/>
        <v/>
      </c>
    </row>
    <row r="170" spans="1:12" ht="33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1" t="str">
        <f t="shared" si="5"/>
        <v/>
      </c>
    </row>
    <row r="171" spans="1:12" ht="33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1" t="str">
        <f t="shared" si="5"/>
        <v/>
      </c>
    </row>
    <row r="172" spans="1:12" ht="33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1" t="str">
        <f t="shared" si="5"/>
        <v/>
      </c>
    </row>
    <row r="173" spans="1:12" ht="33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1" t="str">
        <f t="shared" si="5"/>
        <v/>
      </c>
    </row>
    <row r="174" spans="1:12" ht="33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1" t="str">
        <f t="shared" si="5"/>
        <v/>
      </c>
    </row>
    <row r="175" spans="1:12" ht="33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1" t="str">
        <f t="shared" si="5"/>
        <v/>
      </c>
    </row>
    <row r="176" spans="1:12" ht="33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1" t="str">
        <f t="shared" si="5"/>
        <v/>
      </c>
    </row>
    <row r="177" spans="1:12" ht="33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1" t="str">
        <f t="shared" si="5"/>
        <v/>
      </c>
    </row>
    <row r="178" spans="1:12" ht="33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1" t="str">
        <f t="shared" si="5"/>
        <v/>
      </c>
    </row>
    <row r="179" spans="1:12" ht="33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1" t="str">
        <f t="shared" si="5"/>
        <v/>
      </c>
    </row>
    <row r="180" spans="1:12" ht="33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1" t="str">
        <f t="shared" si="5"/>
        <v/>
      </c>
    </row>
    <row r="181" spans="1:12" ht="33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1" t="str">
        <f t="shared" si="5"/>
        <v/>
      </c>
    </row>
    <row r="182" spans="1:12" ht="33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1" t="str">
        <f t="shared" si="5"/>
        <v/>
      </c>
    </row>
    <row r="183" spans="1:12" ht="33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1" t="str">
        <f t="shared" si="5"/>
        <v/>
      </c>
    </row>
    <row r="184" spans="1:12" ht="33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1" t="str">
        <f t="shared" si="5"/>
        <v/>
      </c>
    </row>
    <row r="185" spans="1:12" ht="33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1" t="str">
        <f t="shared" si="5"/>
        <v/>
      </c>
    </row>
    <row r="186" spans="1:12" ht="33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1" t="str">
        <f t="shared" si="5"/>
        <v/>
      </c>
    </row>
    <row r="187" spans="1:12" ht="33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1" t="str">
        <f t="shared" si="5"/>
        <v/>
      </c>
    </row>
    <row r="188" spans="1:12" ht="33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1" t="str">
        <f t="shared" si="5"/>
        <v/>
      </c>
    </row>
    <row r="189" spans="1:12" ht="33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1" t="str">
        <f t="shared" si="5"/>
        <v/>
      </c>
    </row>
    <row r="190" spans="1:12" ht="33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1" t="str">
        <f t="shared" si="5"/>
        <v/>
      </c>
    </row>
    <row r="191" spans="1:12" ht="33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1" t="str">
        <f t="shared" si="5"/>
        <v/>
      </c>
    </row>
    <row r="192" spans="1:12" ht="33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1" t="str">
        <f t="shared" si="5"/>
        <v/>
      </c>
    </row>
    <row r="193" spans="1:12" ht="33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1" t="str">
        <f t="shared" si="5"/>
        <v/>
      </c>
    </row>
    <row r="194" spans="1:12" ht="33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1" t="str">
        <f t="shared" si="5"/>
        <v/>
      </c>
    </row>
    <row r="195" spans="1:12" ht="33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1" t="str">
        <f t="shared" si="5"/>
        <v/>
      </c>
    </row>
    <row r="196" spans="1:12" ht="33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1" t="str">
        <f t="shared" si="5"/>
        <v/>
      </c>
    </row>
    <row r="197" spans="1:12" ht="33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1" t="str">
        <f t="shared" si="5"/>
        <v/>
      </c>
    </row>
    <row r="198" spans="1:12" ht="33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1" t="str">
        <f t="shared" si="5"/>
        <v/>
      </c>
    </row>
    <row r="199" spans="1:12" ht="33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1" t="str">
        <f t="shared" si="5"/>
        <v/>
      </c>
    </row>
    <row r="200" spans="1:12" ht="33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1" t="str">
        <f t="shared" si="5"/>
        <v/>
      </c>
    </row>
    <row r="201" spans="1:12" ht="33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1" t="str">
        <f t="shared" si="5"/>
        <v/>
      </c>
    </row>
  </sheetData>
  <mergeCells count="2">
    <mergeCell ref="A2:L2"/>
    <mergeCell ref="A1:L1"/>
  </mergeCells>
  <dataValidations count="5">
    <dataValidation type="list" allowBlank="1" showErrorMessage="1" errorTitle="Valor no admitido" error="Sólo se admite Funcional o No funcional." sqref="C5:C201" xr:uid="{00000000-0002-0000-0100-000000000000}">
      <formula1>"Funcional,No funcional"</formula1>
      <formula2>0</formula2>
    </dataValidation>
    <dataValidation type="list" allowBlank="1" showErrorMessage="1" errorTitle="Valor no admitido" error="Categoría no prevista por la clasificación de la cátedra." sqref="D5:D201" xr:uid="{00000000-0002-0000-0100-000001000000}">
      <formula1>"Rendimiento,Fiabilidad,Seguridad,Usabilidad,Mantenibilidad,Portabilidad,Cumplimiento normativo"</formula1>
      <formula2>0</formula2>
    </dataValidation>
    <dataValidation type="list" allowBlank="1" showErrorMessage="1" errorTitle="Valor no admitido" error="Escala MoSCoW: Must, Should, Could o Won't." sqref="E5:E201" xr:uid="{00000000-0002-0000-0100-000002000000}">
      <formula1>"Must,Should,Could,Won't"</formula1>
      <formula2>0</formula2>
    </dataValidation>
    <dataValidation type="list" allowBlank="1" showErrorMessage="1" errorTitle="Valor no admitido" error="Estados admitidos: Validado, Pendiente o Rechazado por el referente." sqref="I5:I201" xr:uid="{00000000-0002-0000-0100-000003000000}">
      <formula1>"Validado,Pendiente,Rechazado por el referente"</formula1>
      <formula2>0</formula2>
    </dataValidation>
    <dataValidation type="list" allowBlank="1" showErrorMessage="1" errorTitle="Valor no admitido" error="Responda Sí o No." sqref="K5:K201" xr:uid="{00000000-0002-0000-0100-000004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44" customWidth="1"/>
    <col min="3" max="3" width="28" customWidth="1"/>
    <col min="4" max="4" width="22" customWidth="1"/>
    <col min="5" max="5" width="40" customWidth="1"/>
    <col min="6" max="6" width="24" customWidth="1"/>
  </cols>
  <sheetData>
    <row r="1" spans="1:6" ht="19.5" customHeight="1" x14ac:dyDescent="0.3">
      <c r="A1" s="38" t="s">
        <v>170</v>
      </c>
      <c r="B1" s="37"/>
      <c r="C1" s="37"/>
      <c r="D1" s="37"/>
      <c r="E1" s="37"/>
      <c r="F1" s="37"/>
    </row>
    <row r="2" spans="1:6" ht="25.5" customHeight="1" x14ac:dyDescent="0.3">
      <c r="A2" s="36" t="s">
        <v>171</v>
      </c>
      <c r="B2" s="37"/>
      <c r="C2" s="37"/>
      <c r="D2" s="37"/>
      <c r="E2" s="37"/>
      <c r="F2" s="37"/>
    </row>
    <row r="4" spans="1:6" ht="30" customHeight="1" x14ac:dyDescent="0.3">
      <c r="A4" s="10" t="s">
        <v>172</v>
      </c>
      <c r="B4" s="10" t="s">
        <v>173</v>
      </c>
      <c r="C4" s="10" t="s">
        <v>174</v>
      </c>
      <c r="D4" s="10" t="s">
        <v>175</v>
      </c>
      <c r="E4" s="10" t="s">
        <v>176</v>
      </c>
      <c r="F4" s="10" t="s">
        <v>177</v>
      </c>
    </row>
    <row r="5" spans="1:6" ht="66" customHeight="1" x14ac:dyDescent="0.3">
      <c r="A5" s="13" t="s">
        <v>178</v>
      </c>
      <c r="B5" s="13" t="s">
        <v>179</v>
      </c>
      <c r="C5" s="13" t="s">
        <v>180</v>
      </c>
      <c r="D5" s="13" t="s">
        <v>41</v>
      </c>
      <c r="E5" s="13"/>
      <c r="F5" s="11" t="str">
        <f t="shared" ref="F5:F36" si="0">IF($A5="","",IF(AND($D5="",$E5=""),"Hallazgo sin destino",IF($D5="","Sin requisito, justificado","Deriva requisito")))</f>
        <v>Deriva requisito</v>
      </c>
    </row>
    <row r="6" spans="1:6" ht="42" customHeight="1" x14ac:dyDescent="0.3">
      <c r="A6" s="12" t="s">
        <v>181</v>
      </c>
      <c r="B6" s="12" t="s">
        <v>182</v>
      </c>
      <c r="C6" s="12" t="s">
        <v>183</v>
      </c>
      <c r="D6" s="12" t="s">
        <v>184</v>
      </c>
      <c r="E6" s="12"/>
      <c r="F6" s="11" t="str">
        <f t="shared" si="0"/>
        <v>Deriva requisito</v>
      </c>
    </row>
    <row r="7" spans="1:6" ht="42" customHeight="1" x14ac:dyDescent="0.3">
      <c r="A7" s="13" t="s">
        <v>185</v>
      </c>
      <c r="B7" s="13" t="s">
        <v>186</v>
      </c>
      <c r="C7" s="13" t="s">
        <v>187</v>
      </c>
      <c r="D7" s="13" t="s">
        <v>188</v>
      </c>
      <c r="E7" s="13"/>
      <c r="F7" s="11" t="str">
        <f t="shared" si="0"/>
        <v>Deriva requisito</v>
      </c>
    </row>
    <row r="8" spans="1:6" ht="42" customHeight="1" x14ac:dyDescent="0.3">
      <c r="A8" s="12" t="s">
        <v>189</v>
      </c>
      <c r="B8" s="12" t="s">
        <v>190</v>
      </c>
      <c r="C8" s="12" t="s">
        <v>191</v>
      </c>
      <c r="D8" s="12" t="s">
        <v>192</v>
      </c>
      <c r="E8" s="12"/>
      <c r="F8" s="11" t="str">
        <f t="shared" si="0"/>
        <v>Deriva requisito</v>
      </c>
    </row>
    <row r="9" spans="1:6" ht="42" customHeight="1" x14ac:dyDescent="0.3">
      <c r="A9" s="13" t="s">
        <v>193</v>
      </c>
      <c r="B9" s="13" t="s">
        <v>194</v>
      </c>
      <c r="C9" s="13" t="s">
        <v>191</v>
      </c>
      <c r="D9" s="13" t="s">
        <v>195</v>
      </c>
      <c r="E9" s="13"/>
      <c r="F9" s="11" t="str">
        <f t="shared" si="0"/>
        <v>Deriva requisito</v>
      </c>
    </row>
    <row r="10" spans="1:6" ht="42" customHeight="1" x14ac:dyDescent="0.3">
      <c r="A10" s="12" t="s">
        <v>196</v>
      </c>
      <c r="B10" s="12" t="s">
        <v>197</v>
      </c>
      <c r="C10" s="12" t="s">
        <v>198</v>
      </c>
      <c r="D10" s="12" t="s">
        <v>199</v>
      </c>
      <c r="E10" s="12"/>
      <c r="F10" s="11" t="str">
        <f t="shared" si="0"/>
        <v>Deriva requisito</v>
      </c>
    </row>
    <row r="11" spans="1:6" ht="30" customHeight="1" x14ac:dyDescent="0.3">
      <c r="A11" s="13" t="s">
        <v>200</v>
      </c>
      <c r="B11" s="13" t="s">
        <v>201</v>
      </c>
      <c r="C11" s="13" t="s">
        <v>202</v>
      </c>
      <c r="D11" s="13" t="s">
        <v>203</v>
      </c>
      <c r="E11" s="13"/>
      <c r="F11" s="11" t="str">
        <f t="shared" si="0"/>
        <v>Deriva requisito</v>
      </c>
    </row>
    <row r="12" spans="1:6" ht="30" customHeight="1" x14ac:dyDescent="0.3">
      <c r="A12" s="12" t="s">
        <v>204</v>
      </c>
      <c r="B12" s="12" t="s">
        <v>205</v>
      </c>
      <c r="C12" s="12" t="s">
        <v>206</v>
      </c>
      <c r="D12" s="12" t="s">
        <v>207</v>
      </c>
      <c r="E12" s="12"/>
      <c r="F12" s="11" t="str">
        <f t="shared" si="0"/>
        <v>Deriva requisito</v>
      </c>
    </row>
    <row r="13" spans="1:6" ht="42" customHeight="1" x14ac:dyDescent="0.3">
      <c r="A13" s="13" t="s">
        <v>208</v>
      </c>
      <c r="B13" s="13" t="s">
        <v>209</v>
      </c>
      <c r="C13" s="13" t="s">
        <v>210</v>
      </c>
      <c r="D13" s="13" t="s">
        <v>211</v>
      </c>
      <c r="E13" s="13"/>
      <c r="F13" s="11" t="str">
        <f t="shared" si="0"/>
        <v>Deriva requisito</v>
      </c>
    </row>
    <row r="14" spans="1:6" ht="42" customHeight="1" x14ac:dyDescent="0.3">
      <c r="A14" s="12" t="s">
        <v>212</v>
      </c>
      <c r="B14" s="12" t="s">
        <v>213</v>
      </c>
      <c r="C14" s="12" t="s">
        <v>214</v>
      </c>
      <c r="D14" s="12"/>
      <c r="E14" s="12" t="s">
        <v>215</v>
      </c>
      <c r="F14" s="11" t="str">
        <f t="shared" si="0"/>
        <v>Sin requisito, justificado</v>
      </c>
    </row>
    <row r="15" spans="1:6" ht="42" customHeight="1" x14ac:dyDescent="0.3">
      <c r="A15" s="13" t="s">
        <v>216</v>
      </c>
      <c r="B15" s="13" t="s">
        <v>217</v>
      </c>
      <c r="C15" s="13" t="s">
        <v>218</v>
      </c>
      <c r="D15" s="13" t="s">
        <v>101</v>
      </c>
      <c r="E15" s="13"/>
      <c r="F15" s="11" t="str">
        <f t="shared" si="0"/>
        <v>Deriva requisito</v>
      </c>
    </row>
    <row r="16" spans="1:6" ht="42" customHeight="1" x14ac:dyDescent="0.3">
      <c r="A16" s="12" t="s">
        <v>219</v>
      </c>
      <c r="B16" s="12" t="s">
        <v>220</v>
      </c>
      <c r="C16" s="12" t="s">
        <v>221</v>
      </c>
      <c r="D16" s="12"/>
      <c r="E16" s="12" t="s">
        <v>222</v>
      </c>
      <c r="F16" s="11" t="str">
        <f t="shared" si="0"/>
        <v>Sin requisito, justificado</v>
      </c>
    </row>
    <row r="17" spans="1:6" ht="30" customHeight="1" x14ac:dyDescent="0.3">
      <c r="A17" s="13" t="s">
        <v>223</v>
      </c>
      <c r="B17" s="13" t="s">
        <v>224</v>
      </c>
      <c r="C17" s="13" t="s">
        <v>225</v>
      </c>
      <c r="D17" s="13" t="s">
        <v>226</v>
      </c>
      <c r="E17" s="13"/>
      <c r="F17" s="11" t="str">
        <f t="shared" si="0"/>
        <v>Deriva requisito</v>
      </c>
    </row>
    <row r="18" spans="1:6" ht="30" customHeight="1" x14ac:dyDescent="0.3">
      <c r="A18" s="12" t="s">
        <v>227</v>
      </c>
      <c r="B18" s="12" t="s">
        <v>228</v>
      </c>
      <c r="C18" s="12" t="s">
        <v>225</v>
      </c>
      <c r="D18" s="12" t="s">
        <v>121</v>
      </c>
      <c r="E18" s="12"/>
      <c r="F18" s="11" t="str">
        <f t="shared" si="0"/>
        <v>Deriva requisito</v>
      </c>
    </row>
    <row r="19" spans="1:6" ht="30" customHeight="1" x14ac:dyDescent="0.3">
      <c r="A19" s="13" t="s">
        <v>229</v>
      </c>
      <c r="B19" s="13" t="s">
        <v>230</v>
      </c>
      <c r="C19" s="13" t="s">
        <v>225</v>
      </c>
      <c r="D19" s="13" t="s">
        <v>231</v>
      </c>
      <c r="E19" s="13"/>
      <c r="F19" s="11" t="str">
        <f t="shared" si="0"/>
        <v>Deriva requisito</v>
      </c>
    </row>
    <row r="20" spans="1:6" ht="42" customHeight="1" x14ac:dyDescent="0.3">
      <c r="A20" s="12" t="s">
        <v>232</v>
      </c>
      <c r="B20" s="12" t="s">
        <v>233</v>
      </c>
      <c r="C20" s="12" t="s">
        <v>225</v>
      </c>
      <c r="D20" s="12" t="s">
        <v>234</v>
      </c>
      <c r="E20" s="12"/>
      <c r="F20" s="11" t="str">
        <f t="shared" si="0"/>
        <v>Deriva requisito</v>
      </c>
    </row>
    <row r="21" spans="1:6" ht="54" customHeight="1" x14ac:dyDescent="0.3">
      <c r="A21" s="13" t="s">
        <v>235</v>
      </c>
      <c r="B21" s="13" t="s">
        <v>236</v>
      </c>
      <c r="C21" s="13" t="s">
        <v>237</v>
      </c>
      <c r="D21" s="13" t="s">
        <v>238</v>
      </c>
      <c r="E21" s="13"/>
      <c r="F21" s="11" t="str">
        <f t="shared" si="0"/>
        <v>Deriva requisito</v>
      </c>
    </row>
    <row r="22" spans="1:6" ht="42" customHeight="1" x14ac:dyDescent="0.3">
      <c r="A22" s="12" t="s">
        <v>239</v>
      </c>
      <c r="B22" s="12" t="s">
        <v>240</v>
      </c>
      <c r="C22" s="12" t="s">
        <v>237</v>
      </c>
      <c r="D22" s="12" t="s">
        <v>188</v>
      </c>
      <c r="E22" s="12"/>
      <c r="F22" s="11" t="str">
        <f t="shared" si="0"/>
        <v>Deriva requisito</v>
      </c>
    </row>
    <row r="23" spans="1:6" ht="42" customHeight="1" x14ac:dyDescent="0.3">
      <c r="A23" s="13" t="s">
        <v>241</v>
      </c>
      <c r="B23" s="13" t="s">
        <v>242</v>
      </c>
      <c r="C23" s="13" t="s">
        <v>237</v>
      </c>
      <c r="D23" s="13" t="s">
        <v>69</v>
      </c>
      <c r="E23" s="13"/>
      <c r="F23" s="11" t="str">
        <f t="shared" si="0"/>
        <v>Deriva requisito</v>
      </c>
    </row>
    <row r="24" spans="1:6" ht="42" customHeight="1" x14ac:dyDescent="0.3">
      <c r="A24" s="12" t="s">
        <v>243</v>
      </c>
      <c r="B24" s="12" t="s">
        <v>244</v>
      </c>
      <c r="C24" s="12" t="s">
        <v>237</v>
      </c>
      <c r="D24" s="12" t="s">
        <v>245</v>
      </c>
      <c r="E24" s="12"/>
      <c r="F24" s="11" t="str">
        <f t="shared" si="0"/>
        <v>Deriva requisito</v>
      </c>
    </row>
    <row r="25" spans="1:6" ht="54" customHeight="1" x14ac:dyDescent="0.3">
      <c r="A25" s="13" t="s">
        <v>246</v>
      </c>
      <c r="B25" s="13" t="s">
        <v>247</v>
      </c>
      <c r="C25" s="13" t="s">
        <v>237</v>
      </c>
      <c r="D25" s="13"/>
      <c r="E25" s="13" t="s">
        <v>248</v>
      </c>
      <c r="F25" s="11" t="str">
        <f t="shared" si="0"/>
        <v>Sin requisito, justificado</v>
      </c>
    </row>
    <row r="26" spans="1:6" ht="42" customHeight="1" x14ac:dyDescent="0.3">
      <c r="A26" s="12" t="s">
        <v>249</v>
      </c>
      <c r="B26" s="12" t="s">
        <v>250</v>
      </c>
      <c r="C26" s="12" t="s">
        <v>237</v>
      </c>
      <c r="D26" s="12" t="s">
        <v>251</v>
      </c>
      <c r="E26" s="12"/>
      <c r="F26" s="11" t="str">
        <f t="shared" si="0"/>
        <v>Deriva requisito</v>
      </c>
    </row>
    <row r="27" spans="1:6" ht="30" customHeight="1" x14ac:dyDescent="0.3">
      <c r="A27" s="13" t="s">
        <v>252</v>
      </c>
      <c r="B27" s="13" t="s">
        <v>253</v>
      </c>
      <c r="C27" s="13" t="s">
        <v>254</v>
      </c>
      <c r="D27" s="13" t="s">
        <v>255</v>
      </c>
      <c r="E27" s="13"/>
      <c r="F27" s="11" t="str">
        <f t="shared" si="0"/>
        <v>Deriva requisito</v>
      </c>
    </row>
    <row r="28" spans="1:6" ht="42" customHeight="1" x14ac:dyDescent="0.3">
      <c r="A28" s="12" t="s">
        <v>256</v>
      </c>
      <c r="B28" s="12" t="s">
        <v>257</v>
      </c>
      <c r="C28" s="12" t="s">
        <v>254</v>
      </c>
      <c r="D28" s="12"/>
      <c r="E28" s="12" t="s">
        <v>258</v>
      </c>
      <c r="F28" s="11" t="str">
        <f t="shared" si="0"/>
        <v>Sin requisito, justificado</v>
      </c>
    </row>
    <row r="29" spans="1:6" ht="33.75" customHeight="1" x14ac:dyDescent="0.3">
      <c r="A29" s="13"/>
      <c r="B29" s="13"/>
      <c r="C29" s="13"/>
      <c r="D29" s="13"/>
      <c r="E29" s="13"/>
      <c r="F29" s="11" t="str">
        <f t="shared" si="0"/>
        <v/>
      </c>
    </row>
    <row r="30" spans="1:6" ht="33.75" customHeight="1" x14ac:dyDescent="0.3">
      <c r="A30" s="12"/>
      <c r="B30" s="12"/>
      <c r="C30" s="12"/>
      <c r="D30" s="12"/>
      <c r="E30" s="12"/>
      <c r="F30" s="11" t="str">
        <f t="shared" si="0"/>
        <v/>
      </c>
    </row>
    <row r="31" spans="1:6" ht="33.75" customHeight="1" x14ac:dyDescent="0.3">
      <c r="A31" s="13"/>
      <c r="B31" s="13"/>
      <c r="C31" s="13"/>
      <c r="D31" s="13"/>
      <c r="E31" s="13"/>
      <c r="F31" s="11" t="str">
        <f t="shared" si="0"/>
        <v/>
      </c>
    </row>
    <row r="32" spans="1:6" ht="33.75" customHeight="1" x14ac:dyDescent="0.3">
      <c r="A32" s="12"/>
      <c r="B32" s="12"/>
      <c r="C32" s="12"/>
      <c r="D32" s="12"/>
      <c r="E32" s="12"/>
      <c r="F32" s="11" t="str">
        <f t="shared" si="0"/>
        <v/>
      </c>
    </row>
    <row r="33" spans="1:6" ht="33.75" customHeight="1" x14ac:dyDescent="0.3">
      <c r="A33" s="13"/>
      <c r="B33" s="13"/>
      <c r="C33" s="13"/>
      <c r="D33" s="13"/>
      <c r="E33" s="13"/>
      <c r="F33" s="11" t="str">
        <f t="shared" si="0"/>
        <v/>
      </c>
    </row>
    <row r="34" spans="1:6" ht="33.75" customHeight="1" x14ac:dyDescent="0.3">
      <c r="A34" s="12"/>
      <c r="B34" s="12"/>
      <c r="C34" s="12"/>
      <c r="D34" s="12"/>
      <c r="E34" s="12"/>
      <c r="F34" s="11" t="str">
        <f t="shared" si="0"/>
        <v/>
      </c>
    </row>
    <row r="35" spans="1:6" ht="33.75" customHeight="1" x14ac:dyDescent="0.3">
      <c r="A35" s="13"/>
      <c r="B35" s="13"/>
      <c r="C35" s="13"/>
      <c r="D35" s="13"/>
      <c r="E35" s="13"/>
      <c r="F35" s="11" t="str">
        <f t="shared" si="0"/>
        <v/>
      </c>
    </row>
    <row r="36" spans="1:6" ht="33.75" customHeight="1" x14ac:dyDescent="0.3">
      <c r="A36" s="12"/>
      <c r="B36" s="12"/>
      <c r="C36" s="12"/>
      <c r="D36" s="12"/>
      <c r="E36" s="12"/>
      <c r="F36" s="11" t="str">
        <f t="shared" si="0"/>
        <v/>
      </c>
    </row>
    <row r="37" spans="1:6" ht="33.75" customHeight="1" x14ac:dyDescent="0.3">
      <c r="A37" s="13"/>
      <c r="B37" s="13"/>
      <c r="C37" s="13"/>
      <c r="D37" s="13"/>
      <c r="E37" s="13"/>
      <c r="F37" s="11" t="str">
        <f t="shared" ref="F37:F61" si="1">IF($A37="","",IF(AND($D37="",$E37=""),"Hallazgo sin destino",IF($D37="","Sin requisito, justificado","Deriva requisito")))</f>
        <v/>
      </c>
    </row>
    <row r="38" spans="1:6" ht="33.75" customHeight="1" x14ac:dyDescent="0.3">
      <c r="A38" s="12"/>
      <c r="B38" s="12"/>
      <c r="C38" s="12"/>
      <c r="D38" s="12"/>
      <c r="E38" s="12"/>
      <c r="F38" s="11" t="str">
        <f t="shared" si="1"/>
        <v/>
      </c>
    </row>
    <row r="39" spans="1:6" ht="33.75" customHeight="1" x14ac:dyDescent="0.3">
      <c r="A39" s="13"/>
      <c r="B39" s="13"/>
      <c r="C39" s="13"/>
      <c r="D39" s="13"/>
      <c r="E39" s="13"/>
      <c r="F39" s="11" t="str">
        <f t="shared" si="1"/>
        <v/>
      </c>
    </row>
    <row r="40" spans="1:6" ht="33.75" customHeight="1" x14ac:dyDescent="0.3">
      <c r="A40" s="12"/>
      <c r="B40" s="12"/>
      <c r="C40" s="12"/>
      <c r="D40" s="12"/>
      <c r="E40" s="12"/>
      <c r="F40" s="11" t="str">
        <f t="shared" si="1"/>
        <v/>
      </c>
    </row>
    <row r="41" spans="1:6" ht="33.75" customHeight="1" x14ac:dyDescent="0.3">
      <c r="A41" s="13"/>
      <c r="B41" s="13"/>
      <c r="C41" s="13"/>
      <c r="D41" s="13"/>
      <c r="E41" s="13"/>
      <c r="F41" s="11" t="str">
        <f t="shared" si="1"/>
        <v/>
      </c>
    </row>
    <row r="42" spans="1:6" ht="33.75" customHeight="1" x14ac:dyDescent="0.3">
      <c r="A42" s="12"/>
      <c r="B42" s="12"/>
      <c r="C42" s="12"/>
      <c r="D42" s="12"/>
      <c r="E42" s="12"/>
      <c r="F42" s="11" t="str">
        <f t="shared" si="1"/>
        <v/>
      </c>
    </row>
    <row r="43" spans="1:6" ht="33.75" customHeight="1" x14ac:dyDescent="0.3">
      <c r="A43" s="13"/>
      <c r="B43" s="13"/>
      <c r="C43" s="13"/>
      <c r="D43" s="13"/>
      <c r="E43" s="13"/>
      <c r="F43" s="11" t="str">
        <f t="shared" si="1"/>
        <v/>
      </c>
    </row>
    <row r="44" spans="1:6" ht="33.75" customHeight="1" x14ac:dyDescent="0.3">
      <c r="A44" s="12"/>
      <c r="B44" s="12"/>
      <c r="C44" s="12"/>
      <c r="D44" s="12"/>
      <c r="E44" s="12"/>
      <c r="F44" s="11" t="str">
        <f t="shared" si="1"/>
        <v/>
      </c>
    </row>
    <row r="45" spans="1:6" ht="33.75" customHeight="1" x14ac:dyDescent="0.3">
      <c r="A45" s="13"/>
      <c r="B45" s="13"/>
      <c r="C45" s="13"/>
      <c r="D45" s="13"/>
      <c r="E45" s="13"/>
      <c r="F45" s="11" t="str">
        <f t="shared" si="1"/>
        <v/>
      </c>
    </row>
    <row r="46" spans="1:6" ht="33.75" customHeight="1" x14ac:dyDescent="0.3">
      <c r="A46" s="12"/>
      <c r="B46" s="12"/>
      <c r="C46" s="12"/>
      <c r="D46" s="12"/>
      <c r="E46" s="12"/>
      <c r="F46" s="11" t="str">
        <f t="shared" si="1"/>
        <v/>
      </c>
    </row>
    <row r="47" spans="1:6" ht="33.75" customHeight="1" x14ac:dyDescent="0.3">
      <c r="A47" s="13"/>
      <c r="B47" s="13"/>
      <c r="C47" s="13"/>
      <c r="D47" s="13"/>
      <c r="E47" s="13"/>
      <c r="F47" s="11" t="str">
        <f t="shared" si="1"/>
        <v/>
      </c>
    </row>
    <row r="48" spans="1:6" ht="33.75" customHeight="1" x14ac:dyDescent="0.3">
      <c r="A48" s="12"/>
      <c r="B48" s="12"/>
      <c r="C48" s="12"/>
      <c r="D48" s="12"/>
      <c r="E48" s="12"/>
      <c r="F48" s="11" t="str">
        <f t="shared" si="1"/>
        <v/>
      </c>
    </row>
    <row r="49" spans="1:6" ht="33.75" customHeight="1" x14ac:dyDescent="0.3">
      <c r="A49" s="13"/>
      <c r="B49" s="13"/>
      <c r="C49" s="13"/>
      <c r="D49" s="13"/>
      <c r="E49" s="13"/>
      <c r="F49" s="11" t="str">
        <f t="shared" si="1"/>
        <v/>
      </c>
    </row>
    <row r="50" spans="1:6" ht="33.75" customHeight="1" x14ac:dyDescent="0.3">
      <c r="A50" s="12"/>
      <c r="B50" s="12"/>
      <c r="C50" s="12"/>
      <c r="D50" s="12"/>
      <c r="E50" s="12"/>
      <c r="F50" s="11" t="str">
        <f t="shared" si="1"/>
        <v/>
      </c>
    </row>
    <row r="51" spans="1:6" ht="33.75" customHeight="1" x14ac:dyDescent="0.3">
      <c r="A51" s="13"/>
      <c r="B51" s="13"/>
      <c r="C51" s="13"/>
      <c r="D51" s="13"/>
      <c r="E51" s="13"/>
      <c r="F51" s="11" t="str">
        <f t="shared" si="1"/>
        <v/>
      </c>
    </row>
    <row r="52" spans="1:6" ht="33.75" customHeight="1" x14ac:dyDescent="0.3">
      <c r="A52" s="12"/>
      <c r="B52" s="12"/>
      <c r="C52" s="12"/>
      <c r="D52" s="12"/>
      <c r="E52" s="12"/>
      <c r="F52" s="11" t="str">
        <f t="shared" si="1"/>
        <v/>
      </c>
    </row>
    <row r="53" spans="1:6" ht="33.75" customHeight="1" x14ac:dyDescent="0.3">
      <c r="A53" s="13"/>
      <c r="B53" s="13"/>
      <c r="C53" s="13"/>
      <c r="D53" s="13"/>
      <c r="E53" s="13"/>
      <c r="F53" s="11" t="str">
        <f t="shared" si="1"/>
        <v/>
      </c>
    </row>
    <row r="54" spans="1:6" ht="33.75" customHeight="1" x14ac:dyDescent="0.3">
      <c r="A54" s="12"/>
      <c r="B54" s="12"/>
      <c r="C54" s="12"/>
      <c r="D54" s="12"/>
      <c r="E54" s="12"/>
      <c r="F54" s="11" t="str">
        <f t="shared" si="1"/>
        <v/>
      </c>
    </row>
    <row r="55" spans="1:6" ht="33.75" customHeight="1" x14ac:dyDescent="0.3">
      <c r="A55" s="13"/>
      <c r="B55" s="13"/>
      <c r="C55" s="13"/>
      <c r="D55" s="13"/>
      <c r="E55" s="13"/>
      <c r="F55" s="11" t="str">
        <f t="shared" si="1"/>
        <v/>
      </c>
    </row>
    <row r="56" spans="1:6" ht="33.75" customHeight="1" x14ac:dyDescent="0.3">
      <c r="A56" s="12"/>
      <c r="B56" s="12"/>
      <c r="C56" s="12"/>
      <c r="D56" s="12"/>
      <c r="E56" s="12"/>
      <c r="F56" s="11" t="str">
        <f t="shared" si="1"/>
        <v/>
      </c>
    </row>
    <row r="57" spans="1:6" ht="33.75" customHeight="1" x14ac:dyDescent="0.3">
      <c r="A57" s="13"/>
      <c r="B57" s="13"/>
      <c r="C57" s="13"/>
      <c r="D57" s="13"/>
      <c r="E57" s="13"/>
      <c r="F57" s="11" t="str">
        <f t="shared" si="1"/>
        <v/>
      </c>
    </row>
    <row r="58" spans="1:6" ht="33.75" customHeight="1" x14ac:dyDescent="0.3">
      <c r="A58" s="12"/>
      <c r="B58" s="12"/>
      <c r="C58" s="12"/>
      <c r="D58" s="12"/>
      <c r="E58" s="12"/>
      <c r="F58" s="11" t="str">
        <f t="shared" si="1"/>
        <v/>
      </c>
    </row>
    <row r="59" spans="1:6" ht="33.75" customHeight="1" x14ac:dyDescent="0.3">
      <c r="A59" s="13"/>
      <c r="B59" s="13"/>
      <c r="C59" s="13"/>
      <c r="D59" s="13"/>
      <c r="E59" s="13"/>
      <c r="F59" s="11" t="str">
        <f t="shared" si="1"/>
        <v/>
      </c>
    </row>
    <row r="60" spans="1:6" ht="33.75" customHeight="1" x14ac:dyDescent="0.3">
      <c r="A60" s="12"/>
      <c r="B60" s="12"/>
      <c r="C60" s="12"/>
      <c r="D60" s="12"/>
      <c r="E60" s="12"/>
      <c r="F60" s="11" t="str">
        <f t="shared" si="1"/>
        <v/>
      </c>
    </row>
    <row r="61" spans="1:6" ht="33.75" customHeight="1" x14ac:dyDescent="0.3">
      <c r="A61" s="13"/>
      <c r="B61" s="13"/>
      <c r="C61" s="13"/>
      <c r="D61" s="13"/>
      <c r="E61" s="13"/>
      <c r="F61" s="11" t="str">
        <f t="shared" si="1"/>
        <v/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30" customWidth="1"/>
    <col min="2" max="2" width="16" customWidth="1"/>
    <col min="3" max="3" width="18" customWidth="1"/>
    <col min="4" max="4" width="16" customWidth="1"/>
    <col min="5" max="5" width="26" customWidth="1"/>
    <col min="6" max="6" width="30" customWidth="1"/>
    <col min="7" max="7" width="32" customWidth="1"/>
  </cols>
  <sheetData>
    <row r="1" spans="1:7" ht="19.5" customHeight="1" x14ac:dyDescent="0.3">
      <c r="A1" s="38" t="s">
        <v>259</v>
      </c>
      <c r="B1" s="37"/>
      <c r="C1" s="37"/>
      <c r="D1" s="37"/>
      <c r="E1" s="37"/>
      <c r="F1" s="37"/>
      <c r="G1" s="37"/>
    </row>
    <row r="2" spans="1:7" ht="25.5" customHeight="1" x14ac:dyDescent="0.3">
      <c r="A2" s="36" t="s">
        <v>260</v>
      </c>
      <c r="B2" s="37"/>
      <c r="C2" s="37"/>
      <c r="D2" s="37"/>
      <c r="E2" s="37"/>
      <c r="F2" s="37"/>
      <c r="G2" s="37"/>
    </row>
    <row r="4" spans="1:7" ht="30" customHeight="1" x14ac:dyDescent="0.3">
      <c r="A4" s="10" t="s">
        <v>261</v>
      </c>
      <c r="B4" s="10" t="s">
        <v>262</v>
      </c>
      <c r="C4" s="10" t="s">
        <v>263</v>
      </c>
      <c r="D4" s="10" t="s">
        <v>264</v>
      </c>
      <c r="E4" s="10" t="s">
        <v>265</v>
      </c>
      <c r="F4" s="10" t="s">
        <v>266</v>
      </c>
      <c r="G4" s="10" t="s">
        <v>267</v>
      </c>
    </row>
    <row r="5" spans="1:7" ht="42" customHeight="1" x14ac:dyDescent="0.3">
      <c r="A5" s="13" t="s">
        <v>268</v>
      </c>
      <c r="B5" s="13" t="s">
        <v>49</v>
      </c>
      <c r="C5" s="13" t="s">
        <v>49</v>
      </c>
      <c r="D5" s="13" t="s">
        <v>49</v>
      </c>
      <c r="E5" s="13" t="s">
        <v>269</v>
      </c>
      <c r="F5" s="13" t="s">
        <v>270</v>
      </c>
      <c r="G5" s="13" t="s">
        <v>271</v>
      </c>
    </row>
    <row r="6" spans="1:7" ht="54" customHeight="1" x14ac:dyDescent="0.3">
      <c r="A6" s="12" t="s">
        <v>272</v>
      </c>
      <c r="B6" s="12" t="s">
        <v>49</v>
      </c>
      <c r="C6" s="12" t="s">
        <v>49</v>
      </c>
      <c r="D6" s="12" t="s">
        <v>49</v>
      </c>
      <c r="E6" s="12" t="s">
        <v>269</v>
      </c>
      <c r="F6" s="12" t="s">
        <v>232</v>
      </c>
      <c r="G6" s="12" t="s">
        <v>273</v>
      </c>
    </row>
    <row r="7" spans="1:7" ht="54" customHeight="1" x14ac:dyDescent="0.3">
      <c r="A7" s="13" t="s">
        <v>274</v>
      </c>
      <c r="B7" s="13" t="s">
        <v>49</v>
      </c>
      <c r="C7" s="13" t="s">
        <v>49</v>
      </c>
      <c r="D7" s="13" t="s">
        <v>49</v>
      </c>
      <c r="E7" s="13" t="s">
        <v>269</v>
      </c>
      <c r="F7" s="13" t="s">
        <v>200</v>
      </c>
      <c r="G7" s="13" t="s">
        <v>275</v>
      </c>
    </row>
    <row r="8" spans="1:7" ht="30" customHeight="1" x14ac:dyDescent="0.3">
      <c r="A8" s="12" t="s">
        <v>276</v>
      </c>
      <c r="B8" s="12" t="s">
        <v>49</v>
      </c>
      <c r="C8" s="12" t="s">
        <v>49</v>
      </c>
      <c r="D8" s="12" t="s">
        <v>49</v>
      </c>
      <c r="E8" s="12" t="s">
        <v>269</v>
      </c>
      <c r="F8" s="12" t="s">
        <v>277</v>
      </c>
      <c r="G8" s="12" t="s">
        <v>278</v>
      </c>
    </row>
    <row r="9" spans="1:7" ht="42" customHeight="1" x14ac:dyDescent="0.3">
      <c r="A9" s="13" t="s">
        <v>279</v>
      </c>
      <c r="B9" s="13" t="s">
        <v>49</v>
      </c>
      <c r="C9" s="13" t="s">
        <v>49</v>
      </c>
      <c r="D9" s="13" t="s">
        <v>49</v>
      </c>
      <c r="E9" s="13" t="s">
        <v>269</v>
      </c>
      <c r="F9" s="13" t="s">
        <v>232</v>
      </c>
      <c r="G9" s="13" t="s">
        <v>280</v>
      </c>
    </row>
    <row r="10" spans="1:7" ht="54" customHeight="1" x14ac:dyDescent="0.3">
      <c r="A10" s="12" t="s">
        <v>281</v>
      </c>
      <c r="B10" s="12" t="s">
        <v>49</v>
      </c>
      <c r="C10" s="12" t="s">
        <v>49</v>
      </c>
      <c r="D10" s="12" t="s">
        <v>49</v>
      </c>
      <c r="E10" s="12" t="s">
        <v>269</v>
      </c>
      <c r="F10" s="12" t="s">
        <v>282</v>
      </c>
      <c r="G10" s="12" t="s">
        <v>283</v>
      </c>
    </row>
    <row r="11" spans="1:7" ht="42" customHeight="1" x14ac:dyDescent="0.3">
      <c r="A11" s="13" t="s">
        <v>284</v>
      </c>
      <c r="B11" s="13" t="s">
        <v>49</v>
      </c>
      <c r="C11" s="13" t="s">
        <v>49</v>
      </c>
      <c r="D11" s="13" t="s">
        <v>49</v>
      </c>
      <c r="E11" s="13" t="s">
        <v>269</v>
      </c>
      <c r="F11" s="13" t="s">
        <v>285</v>
      </c>
      <c r="G11" s="13" t="s">
        <v>286</v>
      </c>
    </row>
    <row r="12" spans="1:7" ht="42" customHeight="1" x14ac:dyDescent="0.3">
      <c r="A12" s="12" t="s">
        <v>287</v>
      </c>
      <c r="B12" s="12" t="s">
        <v>49</v>
      </c>
      <c r="C12" s="12" t="s">
        <v>49</v>
      </c>
      <c r="D12" s="12" t="s">
        <v>49</v>
      </c>
      <c r="E12" s="12" t="s">
        <v>269</v>
      </c>
      <c r="F12" s="12" t="s">
        <v>223</v>
      </c>
      <c r="G12" s="12" t="s">
        <v>288</v>
      </c>
    </row>
    <row r="13" spans="1:7" ht="42" customHeight="1" x14ac:dyDescent="0.3">
      <c r="A13" s="13" t="s">
        <v>289</v>
      </c>
      <c r="B13" s="13" t="s">
        <v>49</v>
      </c>
      <c r="C13" s="13" t="s">
        <v>49</v>
      </c>
      <c r="D13" s="13" t="s">
        <v>49</v>
      </c>
      <c r="E13" s="13" t="s">
        <v>269</v>
      </c>
      <c r="F13" s="13" t="s">
        <v>290</v>
      </c>
      <c r="G13" s="13" t="s">
        <v>291</v>
      </c>
    </row>
    <row r="14" spans="1:7" ht="54" customHeight="1" x14ac:dyDescent="0.3">
      <c r="A14" s="12" t="s">
        <v>292</v>
      </c>
      <c r="B14" s="12" t="s">
        <v>95</v>
      </c>
      <c r="C14" s="12" t="s">
        <v>95</v>
      </c>
      <c r="D14" s="12" t="s">
        <v>49</v>
      </c>
      <c r="E14" s="12" t="s">
        <v>293</v>
      </c>
      <c r="F14" s="12" t="s">
        <v>294</v>
      </c>
      <c r="G14" s="12" t="s">
        <v>295</v>
      </c>
    </row>
    <row r="15" spans="1:7" ht="54" customHeight="1" x14ac:dyDescent="0.3">
      <c r="A15" s="13" t="s">
        <v>296</v>
      </c>
      <c r="B15" s="13" t="s">
        <v>95</v>
      </c>
      <c r="C15" s="13" t="s">
        <v>95</v>
      </c>
      <c r="D15" s="13" t="s">
        <v>95</v>
      </c>
      <c r="E15" s="13" t="s">
        <v>297</v>
      </c>
      <c r="F15" s="13" t="s">
        <v>298</v>
      </c>
      <c r="G15" s="13" t="s">
        <v>299</v>
      </c>
    </row>
    <row r="16" spans="1:7" ht="42" customHeight="1" x14ac:dyDescent="0.3">
      <c r="A16" s="12" t="s">
        <v>300</v>
      </c>
      <c r="B16" s="12" t="s">
        <v>95</v>
      </c>
      <c r="C16" s="12" t="s">
        <v>95</v>
      </c>
      <c r="D16" s="12" t="s">
        <v>49</v>
      </c>
      <c r="E16" s="12" t="s">
        <v>297</v>
      </c>
      <c r="F16" s="12" t="s">
        <v>301</v>
      </c>
      <c r="G16" s="12" t="s">
        <v>302</v>
      </c>
    </row>
    <row r="17" spans="1:7" ht="30" customHeight="1" x14ac:dyDescent="0.3">
      <c r="A17" s="13" t="s">
        <v>303</v>
      </c>
      <c r="B17" s="13" t="s">
        <v>95</v>
      </c>
      <c r="C17" s="13" t="s">
        <v>95</v>
      </c>
      <c r="D17" s="13" t="s">
        <v>49</v>
      </c>
      <c r="E17" s="13" t="s">
        <v>293</v>
      </c>
      <c r="F17" s="13" t="s">
        <v>239</v>
      </c>
      <c r="G17" s="13" t="s">
        <v>304</v>
      </c>
    </row>
    <row r="18" spans="1:7" ht="33.75" customHeight="1" x14ac:dyDescent="0.3">
      <c r="A18" s="12"/>
      <c r="B18" s="12"/>
      <c r="C18" s="12"/>
      <c r="D18" s="12"/>
      <c r="E18" s="12"/>
      <c r="F18" s="12"/>
      <c r="G18" s="12"/>
    </row>
    <row r="19" spans="1:7" ht="33.75" customHeight="1" x14ac:dyDescent="0.3">
      <c r="A19" s="13"/>
      <c r="B19" s="13"/>
      <c r="C19" s="13"/>
      <c r="D19" s="13"/>
      <c r="E19" s="13"/>
      <c r="F19" s="13"/>
      <c r="G19" s="13"/>
    </row>
    <row r="20" spans="1:7" ht="33.75" customHeight="1" x14ac:dyDescent="0.3">
      <c r="A20" s="12"/>
      <c r="B20" s="12"/>
      <c r="C20" s="12"/>
      <c r="D20" s="12"/>
      <c r="E20" s="12"/>
      <c r="F20" s="12"/>
      <c r="G20" s="12"/>
    </row>
    <row r="21" spans="1:7" ht="33.75" customHeight="1" x14ac:dyDescent="0.3">
      <c r="A21" s="13"/>
      <c r="B21" s="13"/>
      <c r="C21" s="13"/>
      <c r="D21" s="13"/>
      <c r="E21" s="13"/>
      <c r="F21" s="13"/>
      <c r="G21" s="13"/>
    </row>
    <row r="22" spans="1:7" ht="33.75" customHeight="1" x14ac:dyDescent="0.3">
      <c r="A22" s="12"/>
      <c r="B22" s="12"/>
      <c r="C22" s="12"/>
      <c r="D22" s="12"/>
      <c r="E22" s="12"/>
      <c r="F22" s="12"/>
      <c r="G22" s="12"/>
    </row>
    <row r="23" spans="1:7" ht="33.75" customHeight="1" x14ac:dyDescent="0.3">
      <c r="A23" s="13"/>
      <c r="B23" s="13"/>
      <c r="C23" s="13"/>
      <c r="D23" s="13"/>
      <c r="E23" s="13"/>
      <c r="F23" s="13"/>
      <c r="G23" s="13"/>
    </row>
    <row r="24" spans="1:7" ht="33.75" customHeight="1" x14ac:dyDescent="0.3">
      <c r="A24" s="12"/>
      <c r="B24" s="12"/>
      <c r="C24" s="12"/>
      <c r="D24" s="12"/>
      <c r="E24" s="12"/>
      <c r="F24" s="12"/>
      <c r="G24" s="12"/>
    </row>
    <row r="25" spans="1:7" ht="33.75" customHeight="1" x14ac:dyDescent="0.3">
      <c r="A25" s="13"/>
      <c r="B25" s="13"/>
      <c r="C25" s="13"/>
      <c r="D25" s="13"/>
      <c r="E25" s="13"/>
      <c r="F25" s="13"/>
      <c r="G25" s="13"/>
    </row>
    <row r="26" spans="1:7" ht="33.75" customHeight="1" x14ac:dyDescent="0.3">
      <c r="A26" s="12"/>
      <c r="B26" s="12"/>
      <c r="C26" s="12"/>
      <c r="D26" s="12"/>
      <c r="E26" s="12"/>
      <c r="F26" s="12"/>
      <c r="G26" s="12"/>
    </row>
    <row r="27" spans="1:7" ht="33.75" customHeight="1" x14ac:dyDescent="0.3">
      <c r="A27" s="13"/>
      <c r="B27" s="13"/>
      <c r="C27" s="13"/>
      <c r="D27" s="13"/>
      <c r="E27" s="13"/>
      <c r="F27" s="13"/>
      <c r="G27" s="13"/>
    </row>
    <row r="28" spans="1:7" ht="33.75" customHeight="1" x14ac:dyDescent="0.3">
      <c r="A28" s="12"/>
      <c r="B28" s="12"/>
      <c r="C28" s="12"/>
      <c r="D28" s="12"/>
      <c r="E28" s="12"/>
      <c r="F28" s="12"/>
      <c r="G28" s="12"/>
    </row>
    <row r="29" spans="1:7" ht="33.75" customHeight="1" x14ac:dyDescent="0.3">
      <c r="A29" s="13"/>
      <c r="B29" s="13"/>
      <c r="C29" s="13"/>
      <c r="D29" s="13"/>
      <c r="E29" s="13"/>
      <c r="F29" s="13"/>
      <c r="G29" s="13"/>
    </row>
    <row r="30" spans="1:7" ht="33.75" customHeight="1" x14ac:dyDescent="0.3">
      <c r="A30" s="12"/>
      <c r="B30" s="12"/>
      <c r="C30" s="12"/>
      <c r="D30" s="12"/>
      <c r="E30" s="12"/>
      <c r="F30" s="12"/>
      <c r="G30" s="12"/>
    </row>
    <row r="31" spans="1:7" ht="33.75" customHeight="1" x14ac:dyDescent="0.3">
      <c r="A31" s="13"/>
      <c r="B31" s="13"/>
      <c r="C31" s="13"/>
      <c r="D31" s="13"/>
      <c r="E31" s="13"/>
      <c r="F31" s="13"/>
      <c r="G31" s="13"/>
    </row>
    <row r="32" spans="1:7" ht="33.75" customHeight="1" x14ac:dyDescent="0.3">
      <c r="A32" s="12"/>
      <c r="B32" s="12"/>
      <c r="C32" s="12"/>
      <c r="D32" s="12"/>
      <c r="E32" s="12"/>
      <c r="F32" s="12"/>
      <c r="G32" s="12"/>
    </row>
    <row r="33" spans="1:7" ht="33.75" customHeight="1" x14ac:dyDescent="0.3">
      <c r="A33" s="13"/>
      <c r="B33" s="13"/>
      <c r="C33" s="13"/>
      <c r="D33" s="13"/>
      <c r="E33" s="13"/>
      <c r="F33" s="13"/>
      <c r="G33" s="13"/>
    </row>
    <row r="34" spans="1:7" ht="33.75" customHeight="1" x14ac:dyDescent="0.3">
      <c r="A34" s="12"/>
      <c r="B34" s="12"/>
      <c r="C34" s="12"/>
      <c r="D34" s="12"/>
      <c r="E34" s="12"/>
      <c r="F34" s="12"/>
      <c r="G34" s="12"/>
    </row>
    <row r="35" spans="1:7" ht="33.75" customHeight="1" x14ac:dyDescent="0.3">
      <c r="A35" s="13"/>
      <c r="B35" s="13"/>
      <c r="C35" s="13"/>
      <c r="D35" s="13"/>
      <c r="E35" s="13"/>
      <c r="F35" s="13"/>
      <c r="G35" s="13"/>
    </row>
    <row r="36" spans="1:7" ht="33.75" customHeight="1" x14ac:dyDescent="0.3">
      <c r="A36" s="12"/>
      <c r="B36" s="12"/>
      <c r="C36" s="12"/>
      <c r="D36" s="12"/>
      <c r="E36" s="12"/>
      <c r="F36" s="12"/>
      <c r="G36" s="12"/>
    </row>
    <row r="37" spans="1:7" ht="33.75" customHeight="1" x14ac:dyDescent="0.3">
      <c r="A37" s="13"/>
      <c r="B37" s="13"/>
      <c r="C37" s="13"/>
      <c r="D37" s="13"/>
      <c r="E37" s="13"/>
      <c r="F37" s="13"/>
      <c r="G37" s="13"/>
    </row>
    <row r="38" spans="1:7" ht="33.75" customHeight="1" x14ac:dyDescent="0.3">
      <c r="A38" s="12"/>
      <c r="B38" s="12"/>
      <c r="C38" s="12"/>
      <c r="D38" s="12"/>
      <c r="E38" s="12"/>
      <c r="F38" s="12"/>
      <c r="G38" s="12"/>
    </row>
    <row r="39" spans="1:7" ht="33.75" customHeight="1" x14ac:dyDescent="0.3">
      <c r="A39" s="13"/>
      <c r="B39" s="13"/>
      <c r="C39" s="13"/>
      <c r="D39" s="13"/>
      <c r="E39" s="13"/>
      <c r="F39" s="13"/>
      <c r="G39" s="13"/>
    </row>
    <row r="40" spans="1:7" ht="33.75" customHeight="1" x14ac:dyDescent="0.3">
      <c r="A40" s="12"/>
      <c r="B40" s="12"/>
      <c r="C40" s="12"/>
      <c r="D40" s="12"/>
      <c r="E40" s="12"/>
      <c r="F40" s="12"/>
      <c r="G40" s="12"/>
    </row>
    <row r="41" spans="1:7" ht="33.75" customHeight="1" x14ac:dyDescent="0.3">
      <c r="A41" s="13"/>
      <c r="B41" s="13"/>
      <c r="C41" s="13"/>
      <c r="D41" s="13"/>
      <c r="E41" s="13"/>
      <c r="F41" s="13"/>
      <c r="G41" s="13"/>
    </row>
    <row r="42" spans="1:7" ht="33.75" customHeight="1" x14ac:dyDescent="0.3">
      <c r="A42" s="12"/>
      <c r="B42" s="12"/>
      <c r="C42" s="12"/>
      <c r="D42" s="12"/>
      <c r="E42" s="12"/>
      <c r="F42" s="12"/>
      <c r="G42" s="12"/>
    </row>
    <row r="43" spans="1:7" ht="33.75" customHeight="1" x14ac:dyDescent="0.3">
      <c r="A43" s="13"/>
      <c r="B43" s="13"/>
      <c r="C43" s="13"/>
      <c r="D43" s="13"/>
      <c r="E43" s="13"/>
      <c r="F43" s="13"/>
      <c r="G43" s="13"/>
    </row>
    <row r="44" spans="1:7" ht="33.75" customHeight="1" x14ac:dyDescent="0.3">
      <c r="A44" s="12"/>
      <c r="B44" s="12"/>
      <c r="C44" s="12"/>
      <c r="D44" s="12"/>
      <c r="E44" s="12"/>
      <c r="F44" s="12"/>
      <c r="G44" s="12"/>
    </row>
    <row r="45" spans="1:7" ht="33.75" customHeight="1" x14ac:dyDescent="0.3">
      <c r="A45" s="13"/>
      <c r="B45" s="13"/>
      <c r="C45" s="13"/>
      <c r="D45" s="13"/>
      <c r="E45" s="13"/>
      <c r="F45" s="13"/>
      <c r="G45" s="13"/>
    </row>
  </sheetData>
  <mergeCells count="2">
    <mergeCell ref="A2:G2"/>
    <mergeCell ref="A1:G1"/>
  </mergeCells>
  <dataValidations count="2">
    <dataValidation type="list" allowBlank="1" showErrorMessage="1" errorTitle="Valor no admitido" error="Responda Sí, No o Parcialmente." sqref="B5:D45" xr:uid="{00000000-0002-0000-0300-000000000000}">
      <formula1>"Sí,No,Parcialmente"</formula1>
      <formula2>0</formula2>
    </dataValidation>
    <dataValidation type="list" allowBlank="1" showErrorMessage="1" errorTitle="Valor no admitido" error="Veredictos admitidos: Entidad, Atributo, Rol, Producto del sistema o Elemento del entorno." sqref="E5:E45" xr:uid="{00000000-0002-0000-0300-000001000000}">
      <formula1>"Entidad,Atributo de otra entidad,Rol de una entidad,Producto del sistema,Elemento del entorno"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18" customWidth="1"/>
    <col min="3" max="3" width="56" customWidth="1"/>
    <col min="4" max="4" width="30" customWidth="1"/>
    <col min="5" max="5" width="14" customWidth="1"/>
    <col min="6" max="6" width="20" customWidth="1"/>
  </cols>
  <sheetData>
    <row r="1" spans="1:6" ht="19.5" customHeight="1" x14ac:dyDescent="0.3">
      <c r="A1" s="38" t="s">
        <v>305</v>
      </c>
      <c r="B1" s="37"/>
      <c r="C1" s="37"/>
      <c r="D1" s="37"/>
      <c r="E1" s="37"/>
      <c r="F1" s="37"/>
    </row>
    <row r="2" spans="1:6" ht="25.5" customHeight="1" x14ac:dyDescent="0.3">
      <c r="A2" s="36" t="s">
        <v>306</v>
      </c>
      <c r="B2" s="37"/>
      <c r="C2" s="37"/>
      <c r="D2" s="37"/>
      <c r="E2" s="37"/>
      <c r="F2" s="37"/>
    </row>
    <row r="4" spans="1:6" ht="30" customHeight="1" x14ac:dyDescent="0.3">
      <c r="A4" s="10" t="s">
        <v>307</v>
      </c>
      <c r="B4" s="10" t="s">
        <v>31</v>
      </c>
      <c r="C4" s="10" t="s">
        <v>308</v>
      </c>
      <c r="D4" s="10" t="s">
        <v>309</v>
      </c>
      <c r="E4" s="10" t="s">
        <v>310</v>
      </c>
      <c r="F4" s="10" t="s">
        <v>311</v>
      </c>
    </row>
    <row r="5" spans="1:6" ht="42" customHeight="1" x14ac:dyDescent="0.3">
      <c r="A5" s="13" t="s">
        <v>312</v>
      </c>
      <c r="B5" s="13" t="s">
        <v>313</v>
      </c>
      <c r="C5" s="13" t="s">
        <v>314</v>
      </c>
      <c r="D5" s="13" t="s">
        <v>315</v>
      </c>
      <c r="E5" s="13" t="s">
        <v>316</v>
      </c>
      <c r="F5" s="13" t="s">
        <v>317</v>
      </c>
    </row>
    <row r="6" spans="1:6" ht="33.75" customHeight="1" x14ac:dyDescent="0.3">
      <c r="A6" s="12" t="s">
        <v>318</v>
      </c>
      <c r="B6" s="12" t="s">
        <v>313</v>
      </c>
      <c r="C6" s="12" t="s">
        <v>319</v>
      </c>
      <c r="D6" s="12" t="s">
        <v>320</v>
      </c>
      <c r="E6" s="12" t="s">
        <v>316</v>
      </c>
      <c r="F6" s="12" t="s">
        <v>251</v>
      </c>
    </row>
    <row r="7" spans="1:6" ht="33.75" customHeight="1" x14ac:dyDescent="0.3">
      <c r="A7" s="13" t="s">
        <v>321</v>
      </c>
      <c r="B7" s="13" t="s">
        <v>313</v>
      </c>
      <c r="C7" s="13" t="s">
        <v>322</v>
      </c>
      <c r="D7" s="13" t="s">
        <v>323</v>
      </c>
      <c r="E7" s="13" t="s">
        <v>316</v>
      </c>
      <c r="F7" s="13" t="s">
        <v>79</v>
      </c>
    </row>
    <row r="8" spans="1:6" ht="33.75" customHeight="1" x14ac:dyDescent="0.3">
      <c r="A8" s="12" t="s">
        <v>324</v>
      </c>
      <c r="B8" s="12" t="s">
        <v>313</v>
      </c>
      <c r="C8" s="12" t="s">
        <v>157</v>
      </c>
      <c r="D8" s="12" t="s">
        <v>294</v>
      </c>
      <c r="E8" s="12" t="s">
        <v>316</v>
      </c>
      <c r="F8" s="12" t="s">
        <v>156</v>
      </c>
    </row>
    <row r="9" spans="1:6" ht="33.75" customHeight="1" x14ac:dyDescent="0.3">
      <c r="A9" s="13" t="s">
        <v>325</v>
      </c>
      <c r="B9" s="13" t="s">
        <v>326</v>
      </c>
      <c r="C9" s="13" t="s">
        <v>327</v>
      </c>
      <c r="D9" s="13" t="s">
        <v>328</v>
      </c>
      <c r="E9" s="13" t="s">
        <v>316</v>
      </c>
      <c r="F9" s="13" t="s">
        <v>55</v>
      </c>
    </row>
    <row r="10" spans="1:6" ht="33.75" customHeight="1" x14ac:dyDescent="0.3">
      <c r="A10" s="12" t="s">
        <v>329</v>
      </c>
      <c r="B10" s="12" t="s">
        <v>326</v>
      </c>
      <c r="C10" s="12" t="s">
        <v>330</v>
      </c>
      <c r="D10" s="12" t="s">
        <v>331</v>
      </c>
      <c r="E10" s="12" t="s">
        <v>316</v>
      </c>
      <c r="F10" s="12" t="s">
        <v>332</v>
      </c>
    </row>
    <row r="11" spans="1:6" ht="42" customHeight="1" x14ac:dyDescent="0.3">
      <c r="A11" s="13" t="s">
        <v>333</v>
      </c>
      <c r="B11" s="13" t="s">
        <v>326</v>
      </c>
      <c r="C11" s="13" t="s">
        <v>334</v>
      </c>
      <c r="D11" s="13" t="s">
        <v>335</v>
      </c>
      <c r="E11" s="13" t="s">
        <v>316</v>
      </c>
      <c r="F11" s="13" t="s">
        <v>84</v>
      </c>
    </row>
    <row r="12" spans="1:6" ht="42" customHeight="1" x14ac:dyDescent="0.3">
      <c r="A12" s="12" t="s">
        <v>336</v>
      </c>
      <c r="B12" s="12" t="s">
        <v>326</v>
      </c>
      <c r="C12" s="12" t="s">
        <v>337</v>
      </c>
      <c r="D12" s="12" t="s">
        <v>169</v>
      </c>
      <c r="E12" s="12" t="s">
        <v>316</v>
      </c>
      <c r="F12" s="12" t="s">
        <v>79</v>
      </c>
    </row>
    <row r="13" spans="1:6" ht="33.75" customHeight="1" x14ac:dyDescent="0.3">
      <c r="A13" s="13" t="s">
        <v>338</v>
      </c>
      <c r="B13" s="13" t="s">
        <v>339</v>
      </c>
      <c r="C13" s="13" t="s">
        <v>340</v>
      </c>
      <c r="D13" s="13" t="s">
        <v>341</v>
      </c>
      <c r="E13" s="13" t="s">
        <v>316</v>
      </c>
      <c r="F13" s="13" t="s">
        <v>342</v>
      </c>
    </row>
    <row r="14" spans="1:6" ht="42" customHeight="1" x14ac:dyDescent="0.3">
      <c r="A14" s="12" t="s">
        <v>343</v>
      </c>
      <c r="B14" s="12" t="s">
        <v>339</v>
      </c>
      <c r="C14" s="12" t="s">
        <v>344</v>
      </c>
      <c r="D14" s="12" t="s">
        <v>345</v>
      </c>
      <c r="E14" s="12" t="s">
        <v>316</v>
      </c>
      <c r="F14" s="12" t="s">
        <v>346</v>
      </c>
    </row>
    <row r="15" spans="1:6" ht="33.75" customHeight="1" x14ac:dyDescent="0.3">
      <c r="A15" s="13" t="s">
        <v>347</v>
      </c>
      <c r="B15" s="13" t="s">
        <v>339</v>
      </c>
      <c r="C15" s="13" t="s">
        <v>348</v>
      </c>
      <c r="D15" s="13" t="s">
        <v>349</v>
      </c>
      <c r="E15" s="13" t="s">
        <v>316</v>
      </c>
      <c r="F15" s="13" t="s">
        <v>350</v>
      </c>
    </row>
    <row r="16" spans="1:6" ht="33.75" customHeight="1" x14ac:dyDescent="0.3">
      <c r="A16" s="12" t="s">
        <v>351</v>
      </c>
      <c r="B16" s="12" t="s">
        <v>326</v>
      </c>
      <c r="C16" s="12" t="s">
        <v>352</v>
      </c>
      <c r="D16" s="12" t="s">
        <v>353</v>
      </c>
      <c r="E16" s="12" t="s">
        <v>316</v>
      </c>
      <c r="F16" s="12" t="s">
        <v>188</v>
      </c>
    </row>
    <row r="17" spans="1:6" ht="33.75" customHeight="1" x14ac:dyDescent="0.3">
      <c r="A17" s="13" t="s">
        <v>354</v>
      </c>
      <c r="B17" s="13" t="s">
        <v>313</v>
      </c>
      <c r="C17" s="13" t="s">
        <v>355</v>
      </c>
      <c r="D17" s="13" t="s">
        <v>356</v>
      </c>
      <c r="E17" s="13" t="s">
        <v>316</v>
      </c>
      <c r="F17" s="13" t="s">
        <v>165</v>
      </c>
    </row>
    <row r="18" spans="1:6" ht="33.75" customHeight="1" x14ac:dyDescent="0.3">
      <c r="A18" s="12" t="s">
        <v>357</v>
      </c>
      <c r="B18" s="12"/>
      <c r="C18" s="12"/>
      <c r="D18" s="12"/>
      <c r="E18" s="12"/>
      <c r="F18" s="12"/>
    </row>
    <row r="19" spans="1:6" ht="33.75" customHeight="1" x14ac:dyDescent="0.3">
      <c r="A19" s="13" t="s">
        <v>358</v>
      </c>
      <c r="B19" s="13"/>
      <c r="C19" s="13"/>
      <c r="D19" s="13"/>
      <c r="E19" s="13"/>
      <c r="F19" s="13"/>
    </row>
    <row r="20" spans="1:6" ht="33.75" customHeight="1" x14ac:dyDescent="0.3">
      <c r="A20" s="12" t="s">
        <v>359</v>
      </c>
      <c r="B20" s="12"/>
      <c r="C20" s="12"/>
      <c r="D20" s="12"/>
      <c r="E20" s="12"/>
      <c r="F20" s="12"/>
    </row>
    <row r="21" spans="1:6" ht="33.75" customHeight="1" x14ac:dyDescent="0.3">
      <c r="A21" s="13" t="s">
        <v>360</v>
      </c>
      <c r="B21" s="13"/>
      <c r="C21" s="13"/>
      <c r="D21" s="13"/>
      <c r="E21" s="13"/>
      <c r="F21" s="13"/>
    </row>
    <row r="22" spans="1:6" ht="33.75" customHeight="1" x14ac:dyDescent="0.3">
      <c r="A22" s="12" t="s">
        <v>361</v>
      </c>
      <c r="B22" s="12"/>
      <c r="C22" s="12"/>
      <c r="D22" s="12"/>
      <c r="E22" s="12"/>
      <c r="F22" s="12"/>
    </row>
    <row r="23" spans="1:6" ht="33.75" customHeight="1" x14ac:dyDescent="0.3">
      <c r="A23" s="13" t="s">
        <v>362</v>
      </c>
      <c r="B23" s="13"/>
      <c r="C23" s="13"/>
      <c r="D23" s="13"/>
      <c r="E23" s="13"/>
      <c r="F23" s="13"/>
    </row>
    <row r="24" spans="1:6" ht="33.75" customHeight="1" x14ac:dyDescent="0.3">
      <c r="A24" s="12" t="s">
        <v>363</v>
      </c>
      <c r="B24" s="12"/>
      <c r="C24" s="12"/>
      <c r="D24" s="12"/>
      <c r="E24" s="12"/>
      <c r="F24" s="12"/>
    </row>
    <row r="25" spans="1:6" ht="33.75" customHeight="1" x14ac:dyDescent="0.3">
      <c r="A25" s="13" t="s">
        <v>364</v>
      </c>
      <c r="B25" s="13"/>
      <c r="C25" s="13"/>
      <c r="D25" s="13"/>
      <c r="E25" s="13"/>
      <c r="F25" s="13"/>
    </row>
    <row r="26" spans="1:6" ht="33.75" customHeight="1" x14ac:dyDescent="0.3">
      <c r="A26" s="12" t="s">
        <v>365</v>
      </c>
      <c r="B26" s="12"/>
      <c r="C26" s="12"/>
      <c r="D26" s="12"/>
      <c r="E26" s="12"/>
      <c r="F26" s="12"/>
    </row>
    <row r="27" spans="1:6" ht="33.75" customHeight="1" x14ac:dyDescent="0.3">
      <c r="A27" s="13" t="s">
        <v>366</v>
      </c>
      <c r="B27" s="13"/>
      <c r="C27" s="13"/>
      <c r="D27" s="13"/>
      <c r="E27" s="13"/>
      <c r="F27" s="13"/>
    </row>
    <row r="28" spans="1:6" ht="33.75" customHeight="1" x14ac:dyDescent="0.3">
      <c r="A28" s="12" t="s">
        <v>367</v>
      </c>
      <c r="B28" s="12"/>
      <c r="C28" s="12"/>
      <c r="D28" s="12"/>
      <c r="E28" s="12"/>
      <c r="F28" s="12"/>
    </row>
    <row r="29" spans="1:6" ht="33.75" customHeight="1" x14ac:dyDescent="0.3">
      <c r="A29" s="13" t="s">
        <v>368</v>
      </c>
      <c r="B29" s="13"/>
      <c r="C29" s="13"/>
      <c r="D29" s="13"/>
      <c r="E29" s="13"/>
      <c r="F29" s="13"/>
    </row>
    <row r="30" spans="1:6" ht="33.75" customHeight="1" x14ac:dyDescent="0.3">
      <c r="A30" s="12" t="s">
        <v>369</v>
      </c>
      <c r="B30" s="12"/>
      <c r="C30" s="12"/>
      <c r="D30" s="12"/>
      <c r="E30" s="12"/>
      <c r="F30" s="12"/>
    </row>
    <row r="31" spans="1:6" ht="33.75" customHeight="1" x14ac:dyDescent="0.3">
      <c r="A31" s="13" t="s">
        <v>370</v>
      </c>
      <c r="B31" s="13"/>
      <c r="C31" s="13"/>
      <c r="D31" s="13"/>
      <c r="E31" s="13"/>
      <c r="F31" s="13"/>
    </row>
    <row r="32" spans="1:6" ht="33.75" customHeight="1" x14ac:dyDescent="0.3">
      <c r="A32" s="12" t="s">
        <v>371</v>
      </c>
      <c r="B32" s="12"/>
      <c r="C32" s="12"/>
      <c r="D32" s="12"/>
      <c r="E32" s="12"/>
      <c r="F32" s="12"/>
    </row>
    <row r="33" spans="1:6" ht="33.75" customHeight="1" x14ac:dyDescent="0.3">
      <c r="A33" s="13" t="s">
        <v>372</v>
      </c>
      <c r="B33" s="13"/>
      <c r="C33" s="13"/>
      <c r="D33" s="13"/>
      <c r="E33" s="13"/>
      <c r="F33" s="13"/>
    </row>
    <row r="34" spans="1:6" ht="33.75" customHeight="1" x14ac:dyDescent="0.3">
      <c r="A34" s="12" t="s">
        <v>373</v>
      </c>
      <c r="B34" s="12"/>
      <c r="C34" s="12"/>
      <c r="D34" s="12"/>
      <c r="E34" s="12"/>
      <c r="F34" s="12"/>
    </row>
    <row r="35" spans="1:6" ht="33.75" customHeight="1" x14ac:dyDescent="0.3">
      <c r="A35" s="13" t="s">
        <v>374</v>
      </c>
      <c r="B35" s="13"/>
      <c r="C35" s="13"/>
      <c r="D35" s="13"/>
      <c r="E35" s="13"/>
      <c r="F35" s="13"/>
    </row>
    <row r="36" spans="1:6" ht="33.75" customHeight="1" x14ac:dyDescent="0.3">
      <c r="A36" s="12" t="s">
        <v>375</v>
      </c>
      <c r="B36" s="12"/>
      <c r="C36" s="12"/>
      <c r="D36" s="12"/>
      <c r="E36" s="12"/>
      <c r="F36" s="12"/>
    </row>
    <row r="37" spans="1:6" ht="33.75" customHeight="1" x14ac:dyDescent="0.3">
      <c r="A37" s="13" t="s">
        <v>376</v>
      </c>
      <c r="B37" s="13"/>
      <c r="C37" s="13"/>
      <c r="D37" s="13"/>
      <c r="E37" s="13"/>
      <c r="F37" s="13"/>
    </row>
    <row r="38" spans="1:6" ht="33.75" customHeight="1" x14ac:dyDescent="0.3">
      <c r="A38" s="12" t="s">
        <v>377</v>
      </c>
      <c r="B38" s="12"/>
      <c r="C38" s="12"/>
      <c r="D38" s="12"/>
      <c r="E38" s="12"/>
      <c r="F38" s="12"/>
    </row>
    <row r="39" spans="1:6" ht="33.75" customHeight="1" x14ac:dyDescent="0.3">
      <c r="A39" s="13" t="s">
        <v>378</v>
      </c>
      <c r="B39" s="13"/>
      <c r="C39" s="13"/>
      <c r="D39" s="13"/>
      <c r="E39" s="13"/>
      <c r="F39" s="13"/>
    </row>
    <row r="40" spans="1:6" ht="33.75" customHeight="1" x14ac:dyDescent="0.3">
      <c r="A40" s="12" t="s">
        <v>379</v>
      </c>
      <c r="B40" s="12"/>
      <c r="C40" s="12"/>
      <c r="D40" s="12"/>
      <c r="E40" s="12"/>
      <c r="F40" s="12"/>
    </row>
  </sheetData>
  <mergeCells count="2">
    <mergeCell ref="A2:F2"/>
    <mergeCell ref="A1:F1"/>
  </mergeCells>
  <dataValidations count="2">
    <dataValidation type="list" allowBlank="1" showErrorMessage="1" errorTitle="Valor no admitido" error="Tipos admitidos: Restricción, Derivación o Existencia." sqref="B5:B40" xr:uid="{00000000-0002-0000-0400-000000000000}">
      <formula1>"Restricción,Derivación,Existencia"</formula1>
      <formula2>0</formula2>
    </dataValidation>
    <dataValidation type="list" allowBlank="1" showErrorMessage="1" errorTitle="Valor no admitido" error="Estados admitidos: Validada, Pendiente o En disputa." sqref="E5:E40" xr:uid="{00000000-0002-0000-0400-000001000000}">
      <formula1>"Validada,Pendiente,En disputa"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28" customWidth="1"/>
    <col min="2" max="2" width="52" customWidth="1"/>
    <col min="3" max="3" width="30" customWidth="1"/>
    <col min="4" max="4" width="26" customWidth="1"/>
    <col min="5" max="5" width="14" customWidth="1"/>
  </cols>
  <sheetData>
    <row r="1" spans="1:5" ht="19.5" customHeight="1" x14ac:dyDescent="0.3">
      <c r="A1" s="38" t="s">
        <v>380</v>
      </c>
      <c r="B1" s="37"/>
      <c r="C1" s="37"/>
      <c r="D1" s="37"/>
      <c r="E1" s="37"/>
    </row>
    <row r="2" spans="1:5" ht="25.5" customHeight="1" x14ac:dyDescent="0.3">
      <c r="A2" s="36" t="s">
        <v>381</v>
      </c>
      <c r="B2" s="37"/>
      <c r="C2" s="37"/>
      <c r="D2" s="37"/>
      <c r="E2" s="37"/>
    </row>
    <row r="4" spans="1:5" ht="30" customHeight="1" x14ac:dyDescent="0.3">
      <c r="A4" s="10" t="s">
        <v>382</v>
      </c>
      <c r="B4" s="10" t="s">
        <v>383</v>
      </c>
      <c r="C4" s="10" t="s">
        <v>384</v>
      </c>
      <c r="D4" s="10" t="s">
        <v>385</v>
      </c>
      <c r="E4" s="10" t="s">
        <v>386</v>
      </c>
    </row>
    <row r="5" spans="1:5" ht="66" customHeight="1" x14ac:dyDescent="0.3">
      <c r="A5" s="13" t="s">
        <v>387</v>
      </c>
      <c r="B5" s="13" t="s">
        <v>388</v>
      </c>
      <c r="C5" s="13" t="s">
        <v>389</v>
      </c>
      <c r="D5" s="13" t="s">
        <v>225</v>
      </c>
      <c r="E5" s="13" t="s">
        <v>49</v>
      </c>
    </row>
    <row r="6" spans="1:5" ht="42" customHeight="1" x14ac:dyDescent="0.3">
      <c r="A6" s="12" t="s">
        <v>390</v>
      </c>
      <c r="B6" s="12" t="s">
        <v>391</v>
      </c>
      <c r="C6" s="12" t="s">
        <v>392</v>
      </c>
      <c r="D6" s="12" t="s">
        <v>393</v>
      </c>
      <c r="E6" s="12" t="s">
        <v>49</v>
      </c>
    </row>
    <row r="7" spans="1:5" ht="33.75" customHeight="1" x14ac:dyDescent="0.3">
      <c r="A7" s="13" t="s">
        <v>394</v>
      </c>
      <c r="B7" s="13" t="s">
        <v>395</v>
      </c>
      <c r="C7" s="13" t="s">
        <v>396</v>
      </c>
      <c r="D7" s="13" t="s">
        <v>397</v>
      </c>
      <c r="E7" s="13" t="s">
        <v>95</v>
      </c>
    </row>
    <row r="8" spans="1:5" ht="33.75" customHeight="1" x14ac:dyDescent="0.3">
      <c r="A8" s="12" t="s">
        <v>398</v>
      </c>
      <c r="B8" s="12" t="s">
        <v>399</v>
      </c>
      <c r="C8" s="12" t="s">
        <v>396</v>
      </c>
      <c r="D8" s="12" t="s">
        <v>397</v>
      </c>
      <c r="E8" s="12" t="s">
        <v>95</v>
      </c>
    </row>
    <row r="9" spans="1:5" ht="33.75" customHeight="1" x14ac:dyDescent="0.3">
      <c r="A9" s="13" t="s">
        <v>400</v>
      </c>
      <c r="B9" s="13" t="s">
        <v>401</v>
      </c>
      <c r="C9" s="13" t="s">
        <v>402</v>
      </c>
      <c r="D9" s="13" t="s">
        <v>237</v>
      </c>
      <c r="E9" s="13" t="s">
        <v>95</v>
      </c>
    </row>
    <row r="10" spans="1:5" ht="33.75" customHeight="1" x14ac:dyDescent="0.3">
      <c r="A10" s="12" t="s">
        <v>300</v>
      </c>
      <c r="B10" s="12" t="s">
        <v>403</v>
      </c>
      <c r="C10" s="12" t="s">
        <v>404</v>
      </c>
      <c r="D10" s="12" t="s">
        <v>405</v>
      </c>
      <c r="E10" s="12" t="s">
        <v>95</v>
      </c>
    </row>
    <row r="11" spans="1:5" ht="33.75" customHeight="1" x14ac:dyDescent="0.3">
      <c r="A11" s="13" t="s">
        <v>406</v>
      </c>
      <c r="B11" s="13" t="s">
        <v>407</v>
      </c>
      <c r="C11" s="13" t="s">
        <v>408</v>
      </c>
      <c r="D11" s="13" t="s">
        <v>225</v>
      </c>
      <c r="E11" s="13" t="s">
        <v>49</v>
      </c>
    </row>
    <row r="12" spans="1:5" ht="33.75" customHeight="1" x14ac:dyDescent="0.3">
      <c r="A12" s="12" t="s">
        <v>409</v>
      </c>
      <c r="B12" s="12" t="s">
        <v>410</v>
      </c>
      <c r="C12" s="12" t="s">
        <v>396</v>
      </c>
      <c r="D12" s="12" t="s">
        <v>411</v>
      </c>
      <c r="E12" s="12" t="s">
        <v>49</v>
      </c>
    </row>
    <row r="13" spans="1:5" ht="33.75" customHeight="1" x14ac:dyDescent="0.3">
      <c r="A13" s="13" t="s">
        <v>284</v>
      </c>
      <c r="B13" s="13" t="s">
        <v>412</v>
      </c>
      <c r="C13" s="13" t="s">
        <v>413</v>
      </c>
      <c r="D13" s="13" t="s">
        <v>225</v>
      </c>
      <c r="E13" s="13" t="s">
        <v>95</v>
      </c>
    </row>
    <row r="14" spans="1:5" ht="42" customHeight="1" x14ac:dyDescent="0.3">
      <c r="A14" s="12" t="s">
        <v>414</v>
      </c>
      <c r="B14" s="12" t="s">
        <v>415</v>
      </c>
      <c r="C14" s="12" t="s">
        <v>416</v>
      </c>
      <c r="D14" s="12" t="s">
        <v>417</v>
      </c>
      <c r="E14" s="12" t="s">
        <v>95</v>
      </c>
    </row>
    <row r="15" spans="1:5" ht="33.75" customHeight="1" x14ac:dyDescent="0.3">
      <c r="A15" s="13" t="s">
        <v>418</v>
      </c>
      <c r="B15" s="13" t="s">
        <v>419</v>
      </c>
      <c r="C15" s="13" t="s">
        <v>396</v>
      </c>
      <c r="D15" s="13" t="s">
        <v>417</v>
      </c>
      <c r="E15" s="13" t="s">
        <v>95</v>
      </c>
    </row>
    <row r="16" spans="1:5" ht="33.75" customHeight="1" x14ac:dyDescent="0.3">
      <c r="A16" s="12" t="s">
        <v>420</v>
      </c>
      <c r="B16" s="12" t="s">
        <v>421</v>
      </c>
      <c r="C16" s="12" t="s">
        <v>422</v>
      </c>
      <c r="D16" s="12" t="s">
        <v>423</v>
      </c>
      <c r="E16" s="12" t="s">
        <v>95</v>
      </c>
    </row>
    <row r="17" spans="1:5" ht="33.75" customHeight="1" x14ac:dyDescent="0.3">
      <c r="A17" s="13"/>
      <c r="B17" s="13"/>
      <c r="C17" s="13"/>
      <c r="D17" s="13"/>
      <c r="E17" s="13"/>
    </row>
    <row r="18" spans="1:5" ht="33.75" customHeight="1" x14ac:dyDescent="0.3">
      <c r="A18" s="12"/>
      <c r="B18" s="12"/>
      <c r="C18" s="12"/>
      <c r="D18" s="12"/>
      <c r="E18" s="12"/>
    </row>
    <row r="19" spans="1:5" ht="33.75" customHeight="1" x14ac:dyDescent="0.3">
      <c r="A19" s="13"/>
      <c r="B19" s="13"/>
      <c r="C19" s="13"/>
      <c r="D19" s="13"/>
      <c r="E19" s="13"/>
    </row>
    <row r="20" spans="1:5" ht="33.75" customHeight="1" x14ac:dyDescent="0.3">
      <c r="A20" s="12"/>
      <c r="B20" s="12"/>
      <c r="C20" s="12"/>
      <c r="D20" s="12"/>
      <c r="E20" s="12"/>
    </row>
    <row r="21" spans="1:5" ht="33.75" customHeight="1" x14ac:dyDescent="0.3">
      <c r="A21" s="13"/>
      <c r="B21" s="13"/>
      <c r="C21" s="13"/>
      <c r="D21" s="13"/>
      <c r="E21" s="13"/>
    </row>
    <row r="22" spans="1:5" ht="33.75" customHeight="1" x14ac:dyDescent="0.3">
      <c r="A22" s="12"/>
      <c r="B22" s="12"/>
      <c r="C22" s="12"/>
      <c r="D22" s="12"/>
      <c r="E22" s="12"/>
    </row>
    <row r="23" spans="1:5" ht="33.75" customHeight="1" x14ac:dyDescent="0.3">
      <c r="A23" s="13"/>
      <c r="B23" s="13"/>
      <c r="C23" s="13"/>
      <c r="D23" s="13"/>
      <c r="E23" s="13"/>
    </row>
    <row r="24" spans="1:5" ht="33.75" customHeight="1" x14ac:dyDescent="0.3">
      <c r="A24" s="12"/>
      <c r="B24" s="12"/>
      <c r="C24" s="12"/>
      <c r="D24" s="12"/>
      <c r="E24" s="12"/>
    </row>
    <row r="25" spans="1:5" ht="33.75" customHeight="1" x14ac:dyDescent="0.3">
      <c r="A25" s="13"/>
      <c r="B25" s="13"/>
      <c r="C25" s="13"/>
      <c r="D25" s="13"/>
      <c r="E25" s="13"/>
    </row>
    <row r="26" spans="1:5" ht="33.75" customHeight="1" x14ac:dyDescent="0.3">
      <c r="A26" s="12"/>
      <c r="B26" s="12"/>
      <c r="C26" s="12"/>
      <c r="D26" s="12"/>
      <c r="E26" s="12"/>
    </row>
    <row r="27" spans="1:5" ht="33.75" customHeight="1" x14ac:dyDescent="0.3">
      <c r="A27" s="13"/>
      <c r="B27" s="13"/>
      <c r="C27" s="13"/>
      <c r="D27" s="13"/>
      <c r="E27" s="13"/>
    </row>
    <row r="28" spans="1:5" ht="33.75" customHeight="1" x14ac:dyDescent="0.3">
      <c r="A28" s="12"/>
      <c r="B28" s="12"/>
      <c r="C28" s="12"/>
      <c r="D28" s="12"/>
      <c r="E28" s="12"/>
    </row>
    <row r="29" spans="1:5" ht="33.75" customHeight="1" x14ac:dyDescent="0.3">
      <c r="A29" s="13"/>
      <c r="B29" s="13"/>
      <c r="C29" s="13"/>
      <c r="D29" s="13"/>
      <c r="E29" s="13"/>
    </row>
    <row r="30" spans="1:5" ht="33.75" customHeight="1" x14ac:dyDescent="0.3">
      <c r="A30" s="12"/>
      <c r="B30" s="12"/>
      <c r="C30" s="12"/>
      <c r="D30" s="12"/>
      <c r="E30" s="12"/>
    </row>
    <row r="31" spans="1:5" ht="33.75" customHeight="1" x14ac:dyDescent="0.3">
      <c r="A31" s="13"/>
      <c r="B31" s="13"/>
      <c r="C31" s="13"/>
      <c r="D31" s="13"/>
      <c r="E31" s="13"/>
    </row>
    <row r="32" spans="1:5" ht="33.75" customHeight="1" x14ac:dyDescent="0.3">
      <c r="A32" s="12"/>
      <c r="B32" s="12"/>
      <c r="C32" s="12"/>
      <c r="D32" s="12"/>
      <c r="E32" s="12"/>
    </row>
    <row r="33" spans="1:5" ht="33.75" customHeight="1" x14ac:dyDescent="0.3">
      <c r="A33" s="13"/>
      <c r="B33" s="13"/>
      <c r="C33" s="13"/>
      <c r="D33" s="13"/>
      <c r="E33" s="13"/>
    </row>
    <row r="34" spans="1:5" ht="33.75" customHeight="1" x14ac:dyDescent="0.3">
      <c r="A34" s="12"/>
      <c r="B34" s="12"/>
      <c r="C34" s="12"/>
      <c r="D34" s="12"/>
      <c r="E34" s="12"/>
    </row>
    <row r="35" spans="1:5" ht="33.75" customHeight="1" x14ac:dyDescent="0.3">
      <c r="A35" s="13"/>
      <c r="B35" s="13"/>
      <c r="C35" s="13"/>
      <c r="D35" s="13"/>
      <c r="E35" s="13"/>
    </row>
    <row r="36" spans="1:5" ht="33.75" customHeight="1" x14ac:dyDescent="0.3">
      <c r="A36" s="12"/>
      <c r="B36" s="12"/>
      <c r="C36" s="12"/>
      <c r="D36" s="12"/>
      <c r="E36" s="12"/>
    </row>
    <row r="37" spans="1:5" ht="33.75" customHeight="1" x14ac:dyDescent="0.3">
      <c r="A37" s="13"/>
      <c r="B37" s="13"/>
      <c r="C37" s="13"/>
      <c r="D37" s="13"/>
      <c r="E37" s="13"/>
    </row>
    <row r="38" spans="1:5" ht="33.75" customHeight="1" x14ac:dyDescent="0.3">
      <c r="A38" s="12"/>
      <c r="B38" s="12"/>
      <c r="C38" s="12"/>
      <c r="D38" s="12"/>
      <c r="E38" s="12"/>
    </row>
    <row r="39" spans="1:5" ht="33.75" customHeight="1" x14ac:dyDescent="0.3">
      <c r="A39" s="13"/>
      <c r="B39" s="13"/>
      <c r="C39" s="13"/>
      <c r="D39" s="13"/>
      <c r="E39" s="13"/>
    </row>
    <row r="40" spans="1:5" ht="33.75" customHeight="1" x14ac:dyDescent="0.3">
      <c r="A40" s="12"/>
      <c r="B40" s="12"/>
      <c r="C40" s="12"/>
      <c r="D40" s="12"/>
      <c r="E40" s="12"/>
    </row>
    <row r="41" spans="1:5" ht="33.75" customHeight="1" x14ac:dyDescent="0.3">
      <c r="A41" s="13"/>
      <c r="B41" s="13"/>
      <c r="C41" s="13"/>
      <c r="D41" s="13"/>
      <c r="E41" s="13"/>
    </row>
    <row r="42" spans="1:5" ht="33.75" customHeight="1" x14ac:dyDescent="0.3">
      <c r="A42" s="12"/>
      <c r="B42" s="12"/>
      <c r="C42" s="12"/>
      <c r="D42" s="12"/>
      <c r="E42" s="12"/>
    </row>
    <row r="43" spans="1:5" ht="33.75" customHeight="1" x14ac:dyDescent="0.3">
      <c r="A43" s="13"/>
      <c r="B43" s="13"/>
      <c r="C43" s="13"/>
      <c r="D43" s="13"/>
      <c r="E43" s="13"/>
    </row>
    <row r="44" spans="1:5" ht="33.75" customHeight="1" x14ac:dyDescent="0.3">
      <c r="A44" s="12"/>
      <c r="B44" s="12"/>
      <c r="C44" s="12"/>
      <c r="D44" s="12"/>
      <c r="E44" s="12"/>
    </row>
    <row r="45" spans="1:5" ht="33.75" customHeight="1" x14ac:dyDescent="0.3">
      <c r="A45" s="13"/>
      <c r="B45" s="13"/>
      <c r="C45" s="13"/>
      <c r="D45" s="13"/>
      <c r="E45" s="13"/>
    </row>
  </sheetData>
  <mergeCells count="2">
    <mergeCell ref="A2:E2"/>
    <mergeCell ref="A1:E1"/>
  </mergeCells>
  <dataValidations count="1">
    <dataValidation type="list" allowBlank="1" showErrorMessage="1" errorTitle="Valor no admitido" error="Responda Sí o No." sqref="E5:E45" xr:uid="{00000000-0002-0000-05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11" customWidth="1"/>
    <col min="2" max="2" width="16" customWidth="1"/>
    <col min="3" max="3" width="14" customWidth="1"/>
    <col min="4" max="4" width="40" customWidth="1"/>
    <col min="5" max="5" width="26" customWidth="1"/>
    <col min="6" max="6" width="32" customWidth="1"/>
    <col min="7" max="7" width="14" customWidth="1"/>
  </cols>
  <sheetData>
    <row r="1" spans="1:7" ht="19.5" customHeight="1" x14ac:dyDescent="0.3">
      <c r="A1" s="38" t="s">
        <v>424</v>
      </c>
      <c r="B1" s="37"/>
      <c r="C1" s="37"/>
      <c r="D1" s="37"/>
      <c r="E1" s="37"/>
      <c r="F1" s="37"/>
      <c r="G1" s="37"/>
    </row>
    <row r="2" spans="1:7" ht="25.5" customHeight="1" x14ac:dyDescent="0.3">
      <c r="A2" s="36" t="s">
        <v>425</v>
      </c>
      <c r="B2" s="37"/>
      <c r="C2" s="37"/>
      <c r="D2" s="37"/>
      <c r="E2" s="37"/>
      <c r="F2" s="37"/>
      <c r="G2" s="37"/>
    </row>
    <row r="4" spans="1:7" ht="30" customHeight="1" x14ac:dyDescent="0.3">
      <c r="A4" s="10" t="s">
        <v>426</v>
      </c>
      <c r="B4" s="10" t="s">
        <v>427</v>
      </c>
      <c r="C4" s="10" t="s">
        <v>428</v>
      </c>
      <c r="D4" s="10" t="s">
        <v>429</v>
      </c>
      <c r="E4" s="10" t="s">
        <v>430</v>
      </c>
      <c r="F4" s="10" t="s">
        <v>431</v>
      </c>
      <c r="G4" s="10" t="s">
        <v>432</v>
      </c>
    </row>
    <row r="5" spans="1:7" ht="48" customHeight="1" x14ac:dyDescent="0.3">
      <c r="A5" s="13">
        <v>1</v>
      </c>
      <c r="B5" s="13" t="s">
        <v>433</v>
      </c>
      <c r="C5" s="13" t="s">
        <v>434</v>
      </c>
      <c r="D5" s="13" t="s">
        <v>435</v>
      </c>
      <c r="E5" s="13" t="s">
        <v>436</v>
      </c>
      <c r="F5" s="13" t="s">
        <v>437</v>
      </c>
      <c r="G5" s="13">
        <f>SUMIF($C$32:$C$59,A5,$H$32:$H$59)</f>
        <v>48</v>
      </c>
    </row>
    <row r="6" spans="1:7" ht="48" customHeight="1" x14ac:dyDescent="0.3">
      <c r="A6" s="12">
        <v>2</v>
      </c>
      <c r="B6" s="12" t="s">
        <v>438</v>
      </c>
      <c r="C6" s="12" t="s">
        <v>439</v>
      </c>
      <c r="D6" s="12" t="s">
        <v>440</v>
      </c>
      <c r="E6" s="12" t="s">
        <v>441</v>
      </c>
      <c r="F6" s="12" t="s">
        <v>442</v>
      </c>
      <c r="G6" s="12">
        <f>SUMIF($C$32:$C$59,A6,$H$32:$H$59)</f>
        <v>44</v>
      </c>
    </row>
    <row r="7" spans="1:7" ht="54" customHeight="1" x14ac:dyDescent="0.3">
      <c r="A7" s="13">
        <v>3</v>
      </c>
      <c r="B7" s="13" t="s">
        <v>443</v>
      </c>
      <c r="C7" s="13" t="s">
        <v>444</v>
      </c>
      <c r="D7" s="13" t="s">
        <v>445</v>
      </c>
      <c r="E7" s="13" t="s">
        <v>446</v>
      </c>
      <c r="F7" s="13" t="s">
        <v>447</v>
      </c>
      <c r="G7" s="13">
        <f>SUMIF($C$32:$C$59,A7,$H$32:$H$59)</f>
        <v>40</v>
      </c>
    </row>
    <row r="8" spans="1:7" ht="48" customHeight="1" x14ac:dyDescent="0.3">
      <c r="A8" s="12">
        <v>4</v>
      </c>
      <c r="B8" s="12" t="s">
        <v>448</v>
      </c>
      <c r="C8" s="12" t="s">
        <v>449</v>
      </c>
      <c r="D8" s="12" t="s">
        <v>450</v>
      </c>
      <c r="E8" s="12" t="s">
        <v>451</v>
      </c>
      <c r="F8" s="12" t="s">
        <v>452</v>
      </c>
      <c r="G8" s="12">
        <f>SUMIF($C$32:$C$59,A8,$H$32:$H$59)</f>
        <v>44</v>
      </c>
    </row>
    <row r="9" spans="1:7" ht="33.75" customHeight="1" x14ac:dyDescent="0.3">
      <c r="A9" s="13">
        <v>5</v>
      </c>
      <c r="B9" s="13"/>
      <c r="C9" s="13"/>
      <c r="D9" s="13"/>
      <c r="E9" s="13"/>
      <c r="F9" s="13"/>
      <c r="G9" s="13"/>
    </row>
    <row r="10" spans="1:7" ht="33.75" customHeight="1" x14ac:dyDescent="0.3">
      <c r="A10" s="12">
        <v>6</v>
      </c>
      <c r="B10" s="12"/>
      <c r="C10" s="12"/>
      <c r="D10" s="12"/>
      <c r="E10" s="12"/>
      <c r="F10" s="12"/>
      <c r="G10" s="12"/>
    </row>
    <row r="11" spans="1:7" ht="33.75" customHeight="1" x14ac:dyDescent="0.3">
      <c r="A11" s="13">
        <v>7</v>
      </c>
      <c r="B11" s="13"/>
      <c r="C11" s="13"/>
      <c r="D11" s="13"/>
      <c r="E11" s="13"/>
      <c r="F11" s="13"/>
      <c r="G11" s="13"/>
    </row>
    <row r="12" spans="1:7" ht="33.75" customHeight="1" x14ac:dyDescent="0.3">
      <c r="A12" s="12">
        <v>8</v>
      </c>
      <c r="B12" s="12"/>
      <c r="C12" s="12"/>
      <c r="D12" s="12"/>
      <c r="E12" s="12"/>
      <c r="F12" s="12"/>
      <c r="G12" s="12"/>
    </row>
    <row r="15" spans="1:7" ht="15" customHeight="1" x14ac:dyDescent="0.3">
      <c r="A15" s="14" t="s">
        <v>453</v>
      </c>
    </row>
    <row r="16" spans="1:7" ht="21.75" customHeight="1" x14ac:dyDescent="0.3">
      <c r="A16" s="15" t="s">
        <v>454</v>
      </c>
      <c r="B16" s="7">
        <v>1</v>
      </c>
    </row>
    <row r="17" spans="1:8" ht="21.75" customHeight="1" x14ac:dyDescent="0.3">
      <c r="A17" s="15" t="s">
        <v>455</v>
      </c>
      <c r="B17" s="7">
        <v>12</v>
      </c>
    </row>
    <row r="18" spans="1:8" ht="21.75" customHeight="1" x14ac:dyDescent="0.3">
      <c r="A18" s="15" t="s">
        <v>456</v>
      </c>
      <c r="B18" s="7">
        <v>16</v>
      </c>
    </row>
    <row r="19" spans="1:8" ht="21.75" customHeight="1" x14ac:dyDescent="0.3">
      <c r="A19" s="16" t="s">
        <v>457</v>
      </c>
      <c r="B19" s="8">
        <f>IF(COUNT(B16:B18)=3,B16*B17*B18,"")</f>
        <v>192</v>
      </c>
    </row>
    <row r="20" spans="1:8" ht="21.75" customHeight="1" x14ac:dyDescent="0.3">
      <c r="A20" s="15" t="s">
        <v>458</v>
      </c>
      <c r="B20" s="7">
        <v>16</v>
      </c>
      <c r="C20" s="25" t="s">
        <v>459</v>
      </c>
    </row>
    <row r="21" spans="1:8" ht="21.75" customHeight="1" x14ac:dyDescent="0.3">
      <c r="A21" s="16" t="s">
        <v>460</v>
      </c>
      <c r="B21" s="8">
        <f>IF(B19="","",B19-N(B20))</f>
        <v>176</v>
      </c>
    </row>
    <row r="22" spans="1:8" ht="21.75" customHeight="1" x14ac:dyDescent="0.3">
      <c r="A22" s="16" t="s">
        <v>461</v>
      </c>
      <c r="B22" s="8">
        <f>SUM(G5:G12)</f>
        <v>176</v>
      </c>
    </row>
    <row r="23" spans="1:8" ht="21.75" customHeight="1" x14ac:dyDescent="0.3">
      <c r="A23" s="16" t="s">
        <v>462</v>
      </c>
      <c r="B23" s="8">
        <f>IF(B21="","",B21-B22)</f>
        <v>0</v>
      </c>
    </row>
    <row r="25" spans="1:8" ht="15" customHeight="1" x14ac:dyDescent="0.3">
      <c r="A25" s="14" t="s">
        <v>463</v>
      </c>
    </row>
    <row r="26" spans="1:8" ht="61.95" customHeight="1" x14ac:dyDescent="0.3">
      <c r="A26" s="16" t="s">
        <v>464</v>
      </c>
      <c r="B26" s="39" t="s">
        <v>465</v>
      </c>
      <c r="C26" s="40"/>
      <c r="D26" s="40"/>
      <c r="E26" s="40"/>
      <c r="F26" s="41"/>
    </row>
    <row r="27" spans="1:8" ht="61.95" customHeight="1" x14ac:dyDescent="0.3">
      <c r="A27" s="16" t="s">
        <v>466</v>
      </c>
      <c r="B27" s="39" t="s">
        <v>467</v>
      </c>
      <c r="C27" s="40"/>
      <c r="D27" s="40"/>
      <c r="E27" s="40"/>
      <c r="F27" s="41"/>
    </row>
    <row r="28" spans="1:8" ht="25.5" customHeight="1" x14ac:dyDescent="0.3">
      <c r="A28" s="16" t="s">
        <v>468</v>
      </c>
      <c r="B28" s="39" t="s">
        <v>469</v>
      </c>
      <c r="C28" s="40"/>
      <c r="D28" s="40"/>
      <c r="E28" s="40"/>
      <c r="F28" s="41"/>
    </row>
    <row r="30" spans="1:8" x14ac:dyDescent="0.3">
      <c r="A30" s="26" t="s">
        <v>470</v>
      </c>
    </row>
    <row r="31" spans="1:8" ht="30" customHeight="1" x14ac:dyDescent="0.3">
      <c r="A31" s="10" t="s">
        <v>471</v>
      </c>
      <c r="B31" s="10" t="s">
        <v>472</v>
      </c>
      <c r="C31" s="10" t="s">
        <v>426</v>
      </c>
      <c r="D31" s="10" t="s">
        <v>33</v>
      </c>
      <c r="E31" s="10" t="s">
        <v>473</v>
      </c>
      <c r="F31" s="10" t="s">
        <v>474</v>
      </c>
      <c r="G31" s="10" t="s">
        <v>475</v>
      </c>
      <c r="H31" s="10" t="s">
        <v>476</v>
      </c>
    </row>
    <row r="32" spans="1:8" ht="24" customHeight="1" x14ac:dyDescent="0.3">
      <c r="A32" s="13" t="s">
        <v>477</v>
      </c>
      <c r="B32" s="13" t="s">
        <v>478</v>
      </c>
      <c r="C32" s="13">
        <v>1</v>
      </c>
      <c r="D32" s="13" t="s">
        <v>479</v>
      </c>
      <c r="E32" s="13">
        <v>0</v>
      </c>
      <c r="F32" s="13">
        <v>0</v>
      </c>
      <c r="G32" s="13">
        <v>36</v>
      </c>
      <c r="H32" s="27">
        <f t="shared" ref="H32:H59" si="0">SUM(E32:G32)</f>
        <v>36</v>
      </c>
    </row>
    <row r="33" spans="1:8" ht="24" customHeight="1" x14ac:dyDescent="0.3">
      <c r="A33" s="12" t="s">
        <v>480</v>
      </c>
      <c r="B33" s="12" t="s">
        <v>481</v>
      </c>
      <c r="C33" s="12">
        <v>1</v>
      </c>
      <c r="D33" s="12" t="s">
        <v>479</v>
      </c>
      <c r="E33" s="12">
        <v>0</v>
      </c>
      <c r="F33" s="12">
        <v>12</v>
      </c>
      <c r="G33" s="12">
        <v>0</v>
      </c>
      <c r="H33" s="27">
        <f t="shared" si="0"/>
        <v>12</v>
      </c>
    </row>
    <row r="34" spans="1:8" ht="24" customHeight="1" x14ac:dyDescent="0.3">
      <c r="A34" s="13" t="s">
        <v>41</v>
      </c>
      <c r="B34" s="13" t="s">
        <v>482</v>
      </c>
      <c r="C34" s="13">
        <v>2</v>
      </c>
      <c r="D34" s="13" t="s">
        <v>44</v>
      </c>
      <c r="E34" s="13">
        <v>0</v>
      </c>
      <c r="F34" s="13">
        <v>6</v>
      </c>
      <c r="G34" s="13">
        <v>0</v>
      </c>
      <c r="H34" s="27">
        <f t="shared" si="0"/>
        <v>6</v>
      </c>
    </row>
    <row r="35" spans="1:8" ht="24" customHeight="1" x14ac:dyDescent="0.3">
      <c r="A35" s="12" t="s">
        <v>50</v>
      </c>
      <c r="B35" s="12" t="s">
        <v>483</v>
      </c>
      <c r="C35" s="12">
        <v>2</v>
      </c>
      <c r="D35" s="12" t="s">
        <v>44</v>
      </c>
      <c r="E35" s="12">
        <v>3</v>
      </c>
      <c r="F35" s="12">
        <v>2</v>
      </c>
      <c r="G35" s="12">
        <v>0</v>
      </c>
      <c r="H35" s="27">
        <f t="shared" si="0"/>
        <v>5</v>
      </c>
    </row>
    <row r="36" spans="1:8" ht="24" customHeight="1" x14ac:dyDescent="0.3">
      <c r="A36" s="13" t="s">
        <v>55</v>
      </c>
      <c r="B36" s="13" t="s">
        <v>484</v>
      </c>
      <c r="C36" s="13">
        <v>2</v>
      </c>
      <c r="D36" s="13" t="s">
        <v>44</v>
      </c>
      <c r="E36" s="13">
        <v>5</v>
      </c>
      <c r="F36" s="13">
        <v>0</v>
      </c>
      <c r="G36" s="13">
        <v>0</v>
      </c>
      <c r="H36" s="27">
        <f t="shared" si="0"/>
        <v>5</v>
      </c>
    </row>
    <row r="37" spans="1:8" ht="24" customHeight="1" x14ac:dyDescent="0.3">
      <c r="A37" s="12" t="s">
        <v>60</v>
      </c>
      <c r="B37" s="12" t="s">
        <v>485</v>
      </c>
      <c r="C37" s="12">
        <v>2</v>
      </c>
      <c r="D37" s="12" t="s">
        <v>44</v>
      </c>
      <c r="E37" s="12">
        <v>3</v>
      </c>
      <c r="F37" s="12">
        <v>1</v>
      </c>
      <c r="G37" s="12">
        <v>0</v>
      </c>
      <c r="H37" s="27">
        <f t="shared" si="0"/>
        <v>4</v>
      </c>
    </row>
    <row r="38" spans="1:8" ht="24" customHeight="1" x14ac:dyDescent="0.3">
      <c r="A38" s="13" t="s">
        <v>65</v>
      </c>
      <c r="B38" s="13" t="s">
        <v>486</v>
      </c>
      <c r="C38" s="13">
        <v>2</v>
      </c>
      <c r="D38" s="13" t="s">
        <v>44</v>
      </c>
      <c r="E38" s="13">
        <v>1</v>
      </c>
      <c r="F38" s="13">
        <v>1</v>
      </c>
      <c r="G38" s="13">
        <v>0</v>
      </c>
      <c r="H38" s="27">
        <f t="shared" si="0"/>
        <v>2</v>
      </c>
    </row>
    <row r="39" spans="1:8" ht="24" customHeight="1" x14ac:dyDescent="0.3">
      <c r="A39" s="12" t="s">
        <v>69</v>
      </c>
      <c r="B39" s="12" t="s">
        <v>487</v>
      </c>
      <c r="C39" s="12">
        <v>2</v>
      </c>
      <c r="D39" s="12" t="s">
        <v>44</v>
      </c>
      <c r="E39" s="12">
        <v>3</v>
      </c>
      <c r="F39" s="12">
        <v>2</v>
      </c>
      <c r="G39" s="12">
        <v>0</v>
      </c>
      <c r="H39" s="27">
        <f t="shared" si="0"/>
        <v>5</v>
      </c>
    </row>
    <row r="40" spans="1:8" ht="24" customHeight="1" x14ac:dyDescent="0.3">
      <c r="A40" s="13" t="s">
        <v>74</v>
      </c>
      <c r="B40" s="13" t="s">
        <v>488</v>
      </c>
      <c r="C40" s="13">
        <v>2</v>
      </c>
      <c r="D40" s="13" t="s">
        <v>44</v>
      </c>
      <c r="E40" s="13">
        <v>1</v>
      </c>
      <c r="F40" s="13">
        <v>1</v>
      </c>
      <c r="G40" s="13">
        <v>0</v>
      </c>
      <c r="H40" s="27">
        <f t="shared" si="0"/>
        <v>2</v>
      </c>
    </row>
    <row r="41" spans="1:8" ht="24" customHeight="1" x14ac:dyDescent="0.3">
      <c r="A41" s="12" t="s">
        <v>114</v>
      </c>
      <c r="B41" s="12" t="s">
        <v>489</v>
      </c>
      <c r="C41" s="12">
        <v>2</v>
      </c>
      <c r="D41" s="12" t="s">
        <v>44</v>
      </c>
      <c r="E41" s="12">
        <v>5</v>
      </c>
      <c r="F41" s="12">
        <v>0</v>
      </c>
      <c r="G41" s="12">
        <v>0</v>
      </c>
      <c r="H41" s="27">
        <f t="shared" si="0"/>
        <v>5</v>
      </c>
    </row>
    <row r="42" spans="1:8" ht="24" customHeight="1" x14ac:dyDescent="0.3">
      <c r="A42" s="13" t="s">
        <v>127</v>
      </c>
      <c r="B42" s="13" t="s">
        <v>490</v>
      </c>
      <c r="C42" s="13">
        <v>2</v>
      </c>
      <c r="D42" s="13" t="s">
        <v>44</v>
      </c>
      <c r="E42" s="13">
        <v>1</v>
      </c>
      <c r="F42" s="13">
        <v>0</v>
      </c>
      <c r="G42" s="13">
        <v>0</v>
      </c>
      <c r="H42" s="27">
        <f t="shared" si="0"/>
        <v>1</v>
      </c>
    </row>
    <row r="43" spans="1:8" ht="24" customHeight="1" x14ac:dyDescent="0.3">
      <c r="A43" s="12" t="s">
        <v>139</v>
      </c>
      <c r="B43" s="12" t="s">
        <v>491</v>
      </c>
      <c r="C43" s="12">
        <v>2</v>
      </c>
      <c r="D43" s="12" t="s">
        <v>44</v>
      </c>
      <c r="E43" s="12">
        <v>0</v>
      </c>
      <c r="F43" s="12">
        <v>2</v>
      </c>
      <c r="G43" s="12">
        <v>0</v>
      </c>
      <c r="H43" s="27">
        <f t="shared" si="0"/>
        <v>2</v>
      </c>
    </row>
    <row r="44" spans="1:8" ht="24" customHeight="1" x14ac:dyDescent="0.3">
      <c r="A44" s="13" t="s">
        <v>492</v>
      </c>
      <c r="B44" s="13" t="s">
        <v>493</v>
      </c>
      <c r="C44" s="13">
        <v>2</v>
      </c>
      <c r="D44" s="13" t="s">
        <v>479</v>
      </c>
      <c r="E44" s="13">
        <v>7</v>
      </c>
      <c r="F44" s="13">
        <v>0</v>
      </c>
      <c r="G44" s="13">
        <v>0</v>
      </c>
      <c r="H44" s="27">
        <f t="shared" si="0"/>
        <v>7</v>
      </c>
    </row>
    <row r="45" spans="1:8" ht="24" customHeight="1" x14ac:dyDescent="0.3">
      <c r="A45" s="12" t="s">
        <v>79</v>
      </c>
      <c r="B45" s="12" t="s">
        <v>494</v>
      </c>
      <c r="C45" s="12">
        <v>3</v>
      </c>
      <c r="D45" s="12" t="s">
        <v>44</v>
      </c>
      <c r="E45" s="12">
        <v>8</v>
      </c>
      <c r="F45" s="12">
        <v>4</v>
      </c>
      <c r="G45" s="12">
        <v>0</v>
      </c>
      <c r="H45" s="27">
        <f t="shared" si="0"/>
        <v>12</v>
      </c>
    </row>
    <row r="46" spans="1:8" ht="24" customHeight="1" x14ac:dyDescent="0.3">
      <c r="A46" s="13" t="s">
        <v>84</v>
      </c>
      <c r="B46" s="13" t="s">
        <v>495</v>
      </c>
      <c r="C46" s="13">
        <v>3</v>
      </c>
      <c r="D46" s="13" t="s">
        <v>44</v>
      </c>
      <c r="E46" s="13">
        <v>5</v>
      </c>
      <c r="F46" s="13">
        <v>0</v>
      </c>
      <c r="G46" s="13">
        <v>0</v>
      </c>
      <c r="H46" s="27">
        <f t="shared" si="0"/>
        <v>5</v>
      </c>
    </row>
    <row r="47" spans="1:8" ht="24" customHeight="1" x14ac:dyDescent="0.3">
      <c r="A47" s="12" t="s">
        <v>133</v>
      </c>
      <c r="B47" s="12" t="s">
        <v>496</v>
      </c>
      <c r="C47" s="12">
        <v>3</v>
      </c>
      <c r="D47" s="12" t="s">
        <v>44</v>
      </c>
      <c r="E47" s="12">
        <v>6</v>
      </c>
      <c r="F47" s="12">
        <v>2</v>
      </c>
      <c r="G47" s="12">
        <v>0</v>
      </c>
      <c r="H47" s="27">
        <f t="shared" si="0"/>
        <v>8</v>
      </c>
    </row>
    <row r="48" spans="1:8" ht="24" customHeight="1" x14ac:dyDescent="0.3">
      <c r="A48" s="13" t="s">
        <v>156</v>
      </c>
      <c r="B48" s="13" t="s">
        <v>497</v>
      </c>
      <c r="C48" s="13">
        <v>3</v>
      </c>
      <c r="D48" s="13" t="s">
        <v>44</v>
      </c>
      <c r="E48" s="13">
        <v>4</v>
      </c>
      <c r="F48" s="13">
        <v>0</v>
      </c>
      <c r="G48" s="13">
        <v>1</v>
      </c>
      <c r="H48" s="27">
        <f t="shared" si="0"/>
        <v>5</v>
      </c>
    </row>
    <row r="49" spans="1:8" ht="24" customHeight="1" x14ac:dyDescent="0.3">
      <c r="A49" s="12" t="s">
        <v>121</v>
      </c>
      <c r="B49" s="12" t="s">
        <v>498</v>
      </c>
      <c r="C49" s="12">
        <v>3</v>
      </c>
      <c r="D49" s="12" t="s">
        <v>44</v>
      </c>
      <c r="E49" s="12">
        <v>0</v>
      </c>
      <c r="F49" s="12">
        <v>0</v>
      </c>
      <c r="G49" s="12">
        <v>3</v>
      </c>
      <c r="H49" s="27">
        <f t="shared" si="0"/>
        <v>3</v>
      </c>
    </row>
    <row r="50" spans="1:8" ht="24" customHeight="1" x14ac:dyDescent="0.3">
      <c r="A50" s="13" t="s">
        <v>150</v>
      </c>
      <c r="B50" s="13" t="s">
        <v>499</v>
      </c>
      <c r="C50" s="13">
        <v>3</v>
      </c>
      <c r="D50" s="13" t="s">
        <v>91</v>
      </c>
      <c r="E50" s="13">
        <v>0</v>
      </c>
      <c r="F50" s="13">
        <v>0</v>
      </c>
      <c r="G50" s="13">
        <v>4</v>
      </c>
      <c r="H50" s="27">
        <f t="shared" si="0"/>
        <v>4</v>
      </c>
    </row>
    <row r="51" spans="1:8" ht="24" customHeight="1" x14ac:dyDescent="0.3">
      <c r="A51" s="12" t="s">
        <v>500</v>
      </c>
      <c r="B51" s="12" t="s">
        <v>501</v>
      </c>
      <c r="C51" s="12">
        <v>3</v>
      </c>
      <c r="D51" s="12" t="s">
        <v>479</v>
      </c>
      <c r="E51" s="12">
        <v>0</v>
      </c>
      <c r="F51" s="12">
        <v>0</v>
      </c>
      <c r="G51" s="12">
        <v>3</v>
      </c>
      <c r="H51" s="27">
        <f t="shared" si="0"/>
        <v>3</v>
      </c>
    </row>
    <row r="52" spans="1:8" ht="24" customHeight="1" x14ac:dyDescent="0.3">
      <c r="A52" s="13" t="s">
        <v>89</v>
      </c>
      <c r="B52" s="13" t="s">
        <v>502</v>
      </c>
      <c r="C52" s="13">
        <v>4</v>
      </c>
      <c r="D52" s="13" t="s">
        <v>91</v>
      </c>
      <c r="E52" s="13">
        <v>3</v>
      </c>
      <c r="F52" s="13">
        <v>2</v>
      </c>
      <c r="G52" s="13">
        <v>0</v>
      </c>
      <c r="H52" s="27">
        <f t="shared" si="0"/>
        <v>5</v>
      </c>
    </row>
    <row r="53" spans="1:8" ht="24" customHeight="1" x14ac:dyDescent="0.3">
      <c r="A53" s="12" t="s">
        <v>96</v>
      </c>
      <c r="B53" s="12" t="s">
        <v>503</v>
      </c>
      <c r="C53" s="12">
        <v>4</v>
      </c>
      <c r="D53" s="12" t="s">
        <v>91</v>
      </c>
      <c r="E53" s="12">
        <v>2</v>
      </c>
      <c r="F53" s="12">
        <v>2</v>
      </c>
      <c r="G53" s="12">
        <v>0</v>
      </c>
      <c r="H53" s="27">
        <f t="shared" si="0"/>
        <v>4</v>
      </c>
    </row>
    <row r="54" spans="1:8" ht="24" customHeight="1" x14ac:dyDescent="0.3">
      <c r="A54" s="13" t="s">
        <v>101</v>
      </c>
      <c r="B54" s="13" t="s">
        <v>504</v>
      </c>
      <c r="C54" s="13">
        <v>4</v>
      </c>
      <c r="D54" s="13" t="s">
        <v>103</v>
      </c>
      <c r="E54" s="13">
        <v>0</v>
      </c>
      <c r="F54" s="13">
        <v>3</v>
      </c>
      <c r="G54" s="13">
        <v>0</v>
      </c>
      <c r="H54" s="27">
        <f t="shared" si="0"/>
        <v>3</v>
      </c>
    </row>
    <row r="55" spans="1:8" ht="24" customHeight="1" x14ac:dyDescent="0.3">
      <c r="A55" s="12" t="s">
        <v>145</v>
      </c>
      <c r="B55" s="12" t="s">
        <v>505</v>
      </c>
      <c r="C55" s="12">
        <v>4</v>
      </c>
      <c r="D55" s="12" t="s">
        <v>91</v>
      </c>
      <c r="E55" s="12">
        <v>2</v>
      </c>
      <c r="F55" s="12">
        <v>0</v>
      </c>
      <c r="G55" s="12">
        <v>2</v>
      </c>
      <c r="H55" s="27">
        <f t="shared" si="0"/>
        <v>4</v>
      </c>
    </row>
    <row r="56" spans="1:8" ht="24" customHeight="1" x14ac:dyDescent="0.3">
      <c r="A56" s="13" t="s">
        <v>161</v>
      </c>
      <c r="B56" s="13" t="s">
        <v>506</v>
      </c>
      <c r="C56" s="13">
        <v>4</v>
      </c>
      <c r="D56" s="13" t="s">
        <v>91</v>
      </c>
      <c r="E56" s="13">
        <v>2</v>
      </c>
      <c r="F56" s="13">
        <v>2</v>
      </c>
      <c r="G56" s="13">
        <v>0</v>
      </c>
      <c r="H56" s="27">
        <f t="shared" si="0"/>
        <v>4</v>
      </c>
    </row>
    <row r="57" spans="1:8" ht="24" customHeight="1" x14ac:dyDescent="0.3">
      <c r="A57" s="12" t="s">
        <v>507</v>
      </c>
      <c r="B57" s="12" t="s">
        <v>508</v>
      </c>
      <c r="C57" s="12">
        <v>4</v>
      </c>
      <c r="D57" s="12" t="s">
        <v>479</v>
      </c>
      <c r="E57" s="12">
        <v>10</v>
      </c>
      <c r="F57" s="12">
        <v>0</v>
      </c>
      <c r="G57" s="12">
        <v>0</v>
      </c>
      <c r="H57" s="27">
        <f t="shared" si="0"/>
        <v>10</v>
      </c>
    </row>
    <row r="58" spans="1:8" ht="24" customHeight="1" x14ac:dyDescent="0.3">
      <c r="A58" s="13" t="s">
        <v>509</v>
      </c>
      <c r="B58" s="13" t="s">
        <v>510</v>
      </c>
      <c r="C58" s="13">
        <v>4</v>
      </c>
      <c r="D58" s="13" t="s">
        <v>479</v>
      </c>
      <c r="E58" s="13">
        <v>0</v>
      </c>
      <c r="F58" s="13">
        <v>0</v>
      </c>
      <c r="G58" s="13">
        <v>8</v>
      </c>
      <c r="H58" s="27">
        <f t="shared" si="0"/>
        <v>8</v>
      </c>
    </row>
    <row r="59" spans="1:8" ht="24" customHeight="1" x14ac:dyDescent="0.3">
      <c r="A59" s="12" t="s">
        <v>511</v>
      </c>
      <c r="B59" s="12" t="s">
        <v>512</v>
      </c>
      <c r="C59" s="12">
        <v>4</v>
      </c>
      <c r="D59" s="12" t="s">
        <v>479</v>
      </c>
      <c r="E59" s="12">
        <v>0</v>
      </c>
      <c r="F59" s="12">
        <v>0</v>
      </c>
      <c r="G59" s="12">
        <v>6</v>
      </c>
      <c r="H59" s="27">
        <f t="shared" si="0"/>
        <v>6</v>
      </c>
    </row>
    <row r="60" spans="1:8" x14ac:dyDescent="0.3">
      <c r="A60" s="28" t="s">
        <v>513</v>
      </c>
      <c r="E60" s="8">
        <f>SUM(E32:E59)</f>
        <v>71</v>
      </c>
      <c r="F60" s="8">
        <f>SUM(F32:F59)</f>
        <v>42</v>
      </c>
      <c r="G60" s="8">
        <f>SUM(G32:G59)</f>
        <v>63</v>
      </c>
      <c r="H60" s="8">
        <f>SUM(H32:H59)</f>
        <v>176</v>
      </c>
    </row>
  </sheetData>
  <mergeCells count="5">
    <mergeCell ref="A1:G1"/>
    <mergeCell ref="B28:F28"/>
    <mergeCell ref="A2:G2"/>
    <mergeCell ref="B26:F26"/>
    <mergeCell ref="B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16" customWidth="1"/>
    <col min="2" max="2" width="30" customWidth="1"/>
    <col min="3" max="3" width="11" customWidth="1"/>
    <col min="4" max="4" width="14" customWidth="1"/>
    <col min="5" max="6" width="15" customWidth="1"/>
    <col min="7" max="7" width="46" customWidth="1"/>
  </cols>
  <sheetData>
    <row r="1" spans="1:7" ht="19.5" customHeight="1" x14ac:dyDescent="0.3">
      <c r="A1" s="38" t="s">
        <v>514</v>
      </c>
      <c r="B1" s="37"/>
      <c r="C1" s="37"/>
      <c r="D1" s="37"/>
      <c r="E1" s="37"/>
      <c r="F1" s="37"/>
      <c r="G1" s="37"/>
    </row>
    <row r="2" spans="1:7" ht="25.5" customHeight="1" x14ac:dyDescent="0.3">
      <c r="A2" s="36" t="s">
        <v>515</v>
      </c>
      <c r="B2" s="37"/>
      <c r="C2" s="37"/>
      <c r="D2" s="37"/>
      <c r="E2" s="37"/>
      <c r="F2" s="37"/>
      <c r="G2" s="37"/>
    </row>
    <row r="4" spans="1:7" ht="30" customHeight="1" x14ac:dyDescent="0.3">
      <c r="A4" s="10" t="s">
        <v>516</v>
      </c>
      <c r="B4" s="10" t="s">
        <v>517</v>
      </c>
      <c r="C4" s="10" t="s">
        <v>518</v>
      </c>
      <c r="D4" s="10" t="s">
        <v>519</v>
      </c>
      <c r="E4" s="10" t="s">
        <v>520</v>
      </c>
      <c r="F4" s="10" t="s">
        <v>521</v>
      </c>
      <c r="G4" s="10" t="s">
        <v>522</v>
      </c>
    </row>
    <row r="5" spans="1:7" ht="66" customHeight="1" x14ac:dyDescent="0.3">
      <c r="A5" s="13" t="s">
        <v>523</v>
      </c>
      <c r="B5" s="13" t="s">
        <v>524</v>
      </c>
      <c r="C5" s="13">
        <f>Iteraciones!E60</f>
        <v>71</v>
      </c>
      <c r="D5" s="13" t="s">
        <v>525</v>
      </c>
      <c r="E5" s="29">
        <v>21565</v>
      </c>
      <c r="F5" s="30">
        <f t="shared" ref="F5:F34" si="0">IF(OR($C5="",$E5=""),"",$C5*$E5)</f>
        <v>1531115</v>
      </c>
      <c r="G5" s="13" t="s">
        <v>526</v>
      </c>
    </row>
    <row r="6" spans="1:7" ht="33.75" customHeight="1" x14ac:dyDescent="0.3">
      <c r="A6" s="12" t="s">
        <v>523</v>
      </c>
      <c r="B6" s="12" t="s">
        <v>527</v>
      </c>
      <c r="C6" s="12">
        <f>Iteraciones!F60</f>
        <v>42</v>
      </c>
      <c r="D6" s="12" t="s">
        <v>525</v>
      </c>
      <c r="E6" s="31">
        <v>21565</v>
      </c>
      <c r="F6" s="30">
        <f t="shared" si="0"/>
        <v>905730</v>
      </c>
      <c r="G6" s="12" t="s">
        <v>528</v>
      </c>
    </row>
    <row r="7" spans="1:7" ht="33.75" customHeight="1" x14ac:dyDescent="0.3">
      <c r="A7" s="13" t="s">
        <v>523</v>
      </c>
      <c r="B7" s="13" t="s">
        <v>529</v>
      </c>
      <c r="C7" s="13">
        <f>Iteraciones!G60</f>
        <v>63</v>
      </c>
      <c r="D7" s="13" t="s">
        <v>525</v>
      </c>
      <c r="E7" s="29">
        <v>21565</v>
      </c>
      <c r="F7" s="30">
        <f t="shared" si="0"/>
        <v>1358595</v>
      </c>
      <c r="G7" s="13" t="s">
        <v>530</v>
      </c>
    </row>
    <row r="8" spans="1:7" ht="33.75" customHeight="1" x14ac:dyDescent="0.3">
      <c r="A8" s="12" t="s">
        <v>531</v>
      </c>
      <c r="B8" s="12" t="s">
        <v>532</v>
      </c>
      <c r="C8" s="12">
        <v>1</v>
      </c>
      <c r="D8" s="12" t="s">
        <v>533</v>
      </c>
      <c r="E8" s="31">
        <v>0</v>
      </c>
      <c r="F8" s="30">
        <f t="shared" si="0"/>
        <v>0</v>
      </c>
      <c r="G8" s="12" t="s">
        <v>534</v>
      </c>
    </row>
    <row r="9" spans="1:7" ht="33.75" customHeight="1" x14ac:dyDescent="0.3">
      <c r="A9" s="13" t="s">
        <v>531</v>
      </c>
      <c r="B9" s="13" t="s">
        <v>535</v>
      </c>
      <c r="C9" s="13">
        <v>1</v>
      </c>
      <c r="D9" s="13" t="s">
        <v>536</v>
      </c>
      <c r="E9" s="29">
        <v>0</v>
      </c>
      <c r="F9" s="30">
        <f t="shared" si="0"/>
        <v>0</v>
      </c>
      <c r="G9" s="13" t="s">
        <v>537</v>
      </c>
    </row>
    <row r="10" spans="1:7" ht="33.75" customHeight="1" x14ac:dyDescent="0.3">
      <c r="A10" s="12" t="s">
        <v>538</v>
      </c>
      <c r="B10" s="12" t="s">
        <v>539</v>
      </c>
      <c r="C10" s="12">
        <v>1</v>
      </c>
      <c r="D10" s="12" t="s">
        <v>540</v>
      </c>
      <c r="E10" s="31">
        <v>120000</v>
      </c>
      <c r="F10" s="30">
        <f t="shared" si="0"/>
        <v>120000</v>
      </c>
      <c r="G10" s="12" t="s">
        <v>541</v>
      </c>
    </row>
    <row r="11" spans="1:7" ht="33.75" customHeight="1" x14ac:dyDescent="0.3">
      <c r="A11" s="13" t="s">
        <v>538</v>
      </c>
      <c r="B11" s="13" t="s">
        <v>512</v>
      </c>
      <c r="C11" s="13">
        <v>3</v>
      </c>
      <c r="D11" s="13" t="s">
        <v>542</v>
      </c>
      <c r="E11" s="29">
        <v>40000</v>
      </c>
      <c r="F11" s="30">
        <f t="shared" si="0"/>
        <v>120000</v>
      </c>
      <c r="G11" s="13" t="s">
        <v>543</v>
      </c>
    </row>
    <row r="12" spans="1:7" ht="42" customHeight="1" x14ac:dyDescent="0.3">
      <c r="A12" s="12" t="s">
        <v>544</v>
      </c>
      <c r="B12" s="12" t="s">
        <v>545</v>
      </c>
      <c r="C12" s="12">
        <v>12</v>
      </c>
      <c r="D12" s="12" t="s">
        <v>546</v>
      </c>
      <c r="E12" s="31">
        <v>30129</v>
      </c>
      <c r="F12" s="30">
        <f t="shared" si="0"/>
        <v>361548</v>
      </c>
      <c r="G12" s="12" t="s">
        <v>547</v>
      </c>
    </row>
    <row r="13" spans="1:7" ht="33.75" customHeight="1" x14ac:dyDescent="0.3">
      <c r="A13" s="13" t="s">
        <v>544</v>
      </c>
      <c r="B13" s="13" t="s">
        <v>548</v>
      </c>
      <c r="C13" s="13">
        <v>12</v>
      </c>
      <c r="D13" s="13" t="s">
        <v>546</v>
      </c>
      <c r="E13" s="29">
        <v>1540</v>
      </c>
      <c r="F13" s="30">
        <f t="shared" si="0"/>
        <v>18480</v>
      </c>
      <c r="G13" s="13" t="s">
        <v>549</v>
      </c>
    </row>
    <row r="14" spans="1:7" ht="33.75" customHeight="1" x14ac:dyDescent="0.3">
      <c r="A14" s="12" t="s">
        <v>544</v>
      </c>
      <c r="B14" s="12" t="s">
        <v>550</v>
      </c>
      <c r="C14" s="12">
        <v>1</v>
      </c>
      <c r="D14" s="12" t="s">
        <v>551</v>
      </c>
      <c r="E14" s="31">
        <v>9500</v>
      </c>
      <c r="F14" s="30">
        <f t="shared" si="0"/>
        <v>9500</v>
      </c>
      <c r="G14" s="12" t="s">
        <v>552</v>
      </c>
    </row>
    <row r="15" spans="1:7" ht="33.75" customHeight="1" x14ac:dyDescent="0.3">
      <c r="A15" s="13" t="s">
        <v>553</v>
      </c>
      <c r="B15" s="13" t="s">
        <v>554</v>
      </c>
      <c r="C15" s="13">
        <v>12</v>
      </c>
      <c r="D15" s="13" t="s">
        <v>546</v>
      </c>
      <c r="E15" s="29">
        <v>20000</v>
      </c>
      <c r="F15" s="30">
        <f t="shared" si="0"/>
        <v>240000</v>
      </c>
      <c r="G15" s="13" t="s">
        <v>555</v>
      </c>
    </row>
    <row r="16" spans="1:7" ht="33.75" customHeight="1" x14ac:dyDescent="0.3">
      <c r="A16" s="12"/>
      <c r="B16" s="12"/>
      <c r="C16" s="12"/>
      <c r="D16" s="12"/>
      <c r="E16" s="18"/>
      <c r="F16" s="17" t="str">
        <f t="shared" si="0"/>
        <v/>
      </c>
      <c r="G16" s="12"/>
    </row>
    <row r="17" spans="1:7" ht="33.75" customHeight="1" x14ac:dyDescent="0.3">
      <c r="A17" s="13"/>
      <c r="B17" s="13"/>
      <c r="C17" s="13"/>
      <c r="D17" s="13"/>
      <c r="E17" s="19"/>
      <c r="F17" s="17" t="str">
        <f t="shared" si="0"/>
        <v/>
      </c>
      <c r="G17" s="13"/>
    </row>
    <row r="18" spans="1:7" ht="33.75" customHeight="1" x14ac:dyDescent="0.3">
      <c r="A18" s="12"/>
      <c r="B18" s="12"/>
      <c r="C18" s="12"/>
      <c r="D18" s="12"/>
      <c r="E18" s="18"/>
      <c r="F18" s="17" t="str">
        <f t="shared" si="0"/>
        <v/>
      </c>
      <c r="G18" s="12"/>
    </row>
    <row r="19" spans="1:7" ht="33.75" customHeight="1" x14ac:dyDescent="0.3">
      <c r="A19" s="13"/>
      <c r="B19" s="13"/>
      <c r="C19" s="13"/>
      <c r="D19" s="13"/>
      <c r="E19" s="19"/>
      <c r="F19" s="17" t="str">
        <f t="shared" si="0"/>
        <v/>
      </c>
      <c r="G19" s="13"/>
    </row>
    <row r="20" spans="1:7" ht="33.75" customHeight="1" x14ac:dyDescent="0.3">
      <c r="A20" s="12"/>
      <c r="B20" s="12"/>
      <c r="C20" s="12"/>
      <c r="D20" s="12"/>
      <c r="E20" s="18"/>
      <c r="F20" s="17" t="str">
        <f t="shared" si="0"/>
        <v/>
      </c>
      <c r="G20" s="12"/>
    </row>
    <row r="21" spans="1:7" ht="33.75" customHeight="1" x14ac:dyDescent="0.3">
      <c r="A21" s="13"/>
      <c r="B21" s="13"/>
      <c r="C21" s="13"/>
      <c r="D21" s="13"/>
      <c r="E21" s="19"/>
      <c r="F21" s="17" t="str">
        <f t="shared" si="0"/>
        <v/>
      </c>
      <c r="G21" s="13"/>
    </row>
    <row r="22" spans="1:7" ht="33.75" customHeight="1" x14ac:dyDescent="0.3">
      <c r="A22" s="12"/>
      <c r="B22" s="12"/>
      <c r="C22" s="12"/>
      <c r="D22" s="12"/>
      <c r="E22" s="18"/>
      <c r="F22" s="17" t="str">
        <f t="shared" si="0"/>
        <v/>
      </c>
      <c r="G22" s="12"/>
    </row>
    <row r="23" spans="1:7" ht="33.75" customHeight="1" x14ac:dyDescent="0.3">
      <c r="A23" s="13"/>
      <c r="B23" s="13"/>
      <c r="C23" s="13"/>
      <c r="D23" s="13"/>
      <c r="E23" s="19"/>
      <c r="F23" s="17" t="str">
        <f t="shared" si="0"/>
        <v/>
      </c>
      <c r="G23" s="13"/>
    </row>
    <row r="24" spans="1:7" ht="33.75" customHeight="1" x14ac:dyDescent="0.3">
      <c r="A24" s="12"/>
      <c r="B24" s="12"/>
      <c r="C24" s="12"/>
      <c r="D24" s="12"/>
      <c r="E24" s="18"/>
      <c r="F24" s="17" t="str">
        <f t="shared" si="0"/>
        <v/>
      </c>
      <c r="G24" s="12"/>
    </row>
    <row r="25" spans="1:7" ht="33.75" customHeight="1" x14ac:dyDescent="0.3">
      <c r="A25" s="13"/>
      <c r="B25" s="13"/>
      <c r="C25" s="13"/>
      <c r="D25" s="13"/>
      <c r="E25" s="19"/>
      <c r="F25" s="17" t="str">
        <f t="shared" si="0"/>
        <v/>
      </c>
      <c r="G25" s="13"/>
    </row>
    <row r="26" spans="1:7" ht="33.75" customHeight="1" x14ac:dyDescent="0.3">
      <c r="A26" s="12"/>
      <c r="B26" s="12"/>
      <c r="C26" s="12"/>
      <c r="D26" s="12"/>
      <c r="E26" s="18"/>
      <c r="F26" s="17" t="str">
        <f t="shared" si="0"/>
        <v/>
      </c>
      <c r="G26" s="12"/>
    </row>
    <row r="27" spans="1:7" ht="33.75" customHeight="1" x14ac:dyDescent="0.3">
      <c r="A27" s="13"/>
      <c r="B27" s="13"/>
      <c r="C27" s="13"/>
      <c r="D27" s="13"/>
      <c r="E27" s="19"/>
      <c r="F27" s="17" t="str">
        <f t="shared" si="0"/>
        <v/>
      </c>
      <c r="G27" s="13"/>
    </row>
    <row r="28" spans="1:7" ht="33.75" customHeight="1" x14ac:dyDescent="0.3">
      <c r="A28" s="12"/>
      <c r="B28" s="12"/>
      <c r="C28" s="12"/>
      <c r="D28" s="12"/>
      <c r="E28" s="18"/>
      <c r="F28" s="17" t="str">
        <f t="shared" si="0"/>
        <v/>
      </c>
      <c r="G28" s="12"/>
    </row>
    <row r="29" spans="1:7" ht="33.75" customHeight="1" x14ac:dyDescent="0.3">
      <c r="A29" s="13"/>
      <c r="B29" s="13"/>
      <c r="C29" s="13"/>
      <c r="D29" s="13"/>
      <c r="E29" s="19"/>
      <c r="F29" s="17" t="str">
        <f t="shared" si="0"/>
        <v/>
      </c>
      <c r="G29" s="13"/>
    </row>
    <row r="30" spans="1:7" ht="33.75" customHeight="1" x14ac:dyDescent="0.3">
      <c r="A30" s="12"/>
      <c r="B30" s="12"/>
      <c r="C30" s="12"/>
      <c r="D30" s="12"/>
      <c r="E30" s="18"/>
      <c r="F30" s="17" t="str">
        <f t="shared" si="0"/>
        <v/>
      </c>
      <c r="G30" s="12"/>
    </row>
    <row r="31" spans="1:7" ht="33.75" customHeight="1" x14ac:dyDescent="0.3">
      <c r="A31" s="13"/>
      <c r="B31" s="13"/>
      <c r="C31" s="13"/>
      <c r="D31" s="13"/>
      <c r="E31" s="19"/>
      <c r="F31" s="17" t="str">
        <f t="shared" si="0"/>
        <v/>
      </c>
      <c r="G31" s="13"/>
    </row>
    <row r="32" spans="1:7" ht="33.75" customHeight="1" x14ac:dyDescent="0.3">
      <c r="A32" s="12"/>
      <c r="B32" s="12"/>
      <c r="C32" s="12"/>
      <c r="D32" s="12"/>
      <c r="E32" s="18"/>
      <c r="F32" s="17" t="str">
        <f t="shared" si="0"/>
        <v/>
      </c>
      <c r="G32" s="12"/>
    </row>
    <row r="33" spans="1:7" ht="33.75" customHeight="1" x14ac:dyDescent="0.3">
      <c r="A33" s="13"/>
      <c r="B33" s="13"/>
      <c r="C33" s="13"/>
      <c r="D33" s="13"/>
      <c r="E33" s="19"/>
      <c r="F33" s="17" t="str">
        <f t="shared" si="0"/>
        <v/>
      </c>
      <c r="G33" s="13"/>
    </row>
    <row r="34" spans="1:7" ht="33.75" customHeight="1" x14ac:dyDescent="0.3">
      <c r="A34" s="12"/>
      <c r="B34" s="12"/>
      <c r="C34" s="12"/>
      <c r="D34" s="12"/>
      <c r="E34" s="18"/>
      <c r="F34" s="17" t="str">
        <f t="shared" si="0"/>
        <v/>
      </c>
      <c r="G34" s="12"/>
    </row>
    <row r="36" spans="1:7" ht="15" customHeight="1" x14ac:dyDescent="0.3">
      <c r="E36" s="5" t="s">
        <v>556</v>
      </c>
      <c r="F36" s="20">
        <f>SUM(F5:F34)</f>
        <v>4664968</v>
      </c>
    </row>
    <row r="37" spans="1:7" ht="15" customHeight="1" x14ac:dyDescent="0.3">
      <c r="E37" s="5" t="s">
        <v>557</v>
      </c>
      <c r="F37" s="21">
        <f>SUMIF($A$5:$A$34,"Humanos",$C$5:$C$34)</f>
        <v>176</v>
      </c>
    </row>
    <row r="38" spans="1:7" ht="15" customHeight="1" x14ac:dyDescent="0.3">
      <c r="E38" s="5" t="s">
        <v>558</v>
      </c>
      <c r="F38" s="21" t="str">
        <f>IF(Iteraciones!$B$21="","Falta el presupuesto efectivo",IF(F37=Iteraciones!$B$21,"Coherente",IF(F37&gt;Iteraciones!$B$21,"Excede el presupuesto","No agota el presupuesto: revisar")))</f>
        <v>Coherente</v>
      </c>
    </row>
  </sheetData>
  <mergeCells count="2">
    <mergeCell ref="A2:G2"/>
    <mergeCell ref="A1:G1"/>
  </mergeCells>
  <dataValidations count="1">
    <dataValidation type="list" allowBlank="1" showErrorMessage="1" errorTitle="Valor no admitido" error="Clases admitidas: Humanos, Físicos y materiales, Financieros, Tecnológicos u Otros." sqref="A5:A34" xr:uid="{00000000-0002-0000-0700-000000000000}">
      <formula1>"Humanos,Físicos y materiales,Financieros,Tecnológicos,Otros"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58" customWidth="1"/>
    <col min="2" max="2" width="16" customWidth="1"/>
    <col min="3" max="3" width="62" customWidth="1"/>
  </cols>
  <sheetData>
    <row r="1" spans="1:3" ht="19.5" customHeight="1" x14ac:dyDescent="0.3">
      <c r="A1" s="38" t="s">
        <v>559</v>
      </c>
      <c r="B1" s="37"/>
      <c r="C1" s="37"/>
    </row>
    <row r="2" spans="1:3" ht="25.5" customHeight="1" x14ac:dyDescent="0.3">
      <c r="A2" s="36" t="s">
        <v>560</v>
      </c>
      <c r="B2" s="37"/>
      <c r="C2" s="37"/>
    </row>
    <row r="4" spans="1:3" ht="30" customHeight="1" x14ac:dyDescent="0.3">
      <c r="A4" s="10" t="s">
        <v>561</v>
      </c>
      <c r="B4" s="10" t="s">
        <v>562</v>
      </c>
      <c r="C4" s="10" t="s">
        <v>563</v>
      </c>
    </row>
    <row r="5" spans="1:3" ht="30" customHeight="1" x14ac:dyDescent="0.3">
      <c r="A5" s="22" t="s">
        <v>564</v>
      </c>
      <c r="B5" s="23">
        <f>COUNTIF(Catálogo!$A$5:$A$201,"?*")</f>
        <v>23</v>
      </c>
      <c r="C5" s="24" t="s">
        <v>565</v>
      </c>
    </row>
    <row r="6" spans="1:3" ht="30" customHeight="1" x14ac:dyDescent="0.3">
      <c r="A6" s="22" t="s">
        <v>566</v>
      </c>
      <c r="B6" s="23">
        <f>COUNTIFS(Catálogo!$A$5:$A$201,"?*",Catálogo!$G$5:$G$201,"?*")</f>
        <v>23</v>
      </c>
      <c r="C6" s="24" t="s">
        <v>567</v>
      </c>
    </row>
    <row r="7" spans="1:3" ht="30" customHeight="1" x14ac:dyDescent="0.3">
      <c r="A7" s="22" t="s">
        <v>568</v>
      </c>
      <c r="B7" s="23">
        <f>COUNTIFS(Catálogo!$A$5:$A$201,"?*",Catálogo!$H$5:$H$201,"?*")</f>
        <v>23</v>
      </c>
      <c r="C7" s="24" t="s">
        <v>569</v>
      </c>
    </row>
    <row r="8" spans="1:3" ht="30" customHeight="1" x14ac:dyDescent="0.3">
      <c r="A8" s="22" t="s">
        <v>570</v>
      </c>
      <c r="B8" s="23">
        <f>COUNTIFS(Catálogo!$A$5:$A$201,"?*",Catálogo!$C$5:$C$201,"No funcional")</f>
        <v>9</v>
      </c>
      <c r="C8" s="24" t="s">
        <v>571</v>
      </c>
    </row>
    <row r="9" spans="1:3" ht="30" customHeight="1" x14ac:dyDescent="0.3">
      <c r="A9" s="22" t="s">
        <v>572</v>
      </c>
      <c r="B9" s="23">
        <f>COUNTIFS(Catálogo!$C$5:$C$201,"No funcional",Catálogo!$D$5:$D$201,"")</f>
        <v>0</v>
      </c>
      <c r="C9" s="24" t="s">
        <v>573</v>
      </c>
    </row>
    <row r="10" spans="1:3" ht="30" customHeight="1" x14ac:dyDescent="0.3">
      <c r="A10" s="22" t="s">
        <v>574</v>
      </c>
      <c r="B10" s="23">
        <f>COUNTIFS(Catálogo!$A$5:$A$201,"?*",Catálogo!$E$5:$E$201,"Must")</f>
        <v>15</v>
      </c>
      <c r="C10" s="24" t="s">
        <v>575</v>
      </c>
    </row>
    <row r="11" spans="1:3" ht="30" customHeight="1" x14ac:dyDescent="0.3">
      <c r="A11" s="22" t="s">
        <v>576</v>
      </c>
      <c r="B11" s="23">
        <f>COUNTIFS(Catálogo!$A$5:$A$201,"?*",Catálogo!$K$5:$K$201,"Sí")</f>
        <v>15</v>
      </c>
      <c r="C11" s="24" t="s">
        <v>577</v>
      </c>
    </row>
    <row r="12" spans="1:3" ht="30" customHeight="1" x14ac:dyDescent="0.3">
      <c r="A12" s="22" t="s">
        <v>578</v>
      </c>
      <c r="B12" s="23" t="str">
        <f>IF(COUNTIFS(Catálogo!$A$5:$A$201,"?*",Catálogo!$E$5:$E$201,"Must")=COUNTIFS(Catálogo!$A$5:$A$201,"?*",Catálogo!$K$5:$K$201,"Sí"),"Coherente","REVISAR")</f>
        <v>Coherente</v>
      </c>
      <c r="C12" s="24" t="s">
        <v>579</v>
      </c>
    </row>
    <row r="13" spans="1:3" ht="30" customHeight="1" x14ac:dyDescent="0.3">
      <c r="A13" s="22" t="s">
        <v>580</v>
      </c>
      <c r="B13" s="23">
        <f>COUNTIFS(Catálogo!$A$5:$A$201,"?*",Catálogo!$I$5:$I$201,"Validado")</f>
        <v>23</v>
      </c>
      <c r="C13" s="24" t="s">
        <v>581</v>
      </c>
    </row>
    <row r="14" spans="1:3" ht="30" customHeight="1" x14ac:dyDescent="0.3">
      <c r="A14" s="22" t="s">
        <v>582</v>
      </c>
      <c r="B14" s="23">
        <f>COUNTIF(Catálogo!$L$5:$L$201,"Faltan campos")+COUNTIF(Catálogo!$L$5:$L$201,"Falta categoría")+COUNTIF(Catálogo!$L$5:$L$201,"Falta definir si integra el MVP")</f>
        <v>0</v>
      </c>
      <c r="C14" s="24" t="s">
        <v>583</v>
      </c>
    </row>
    <row r="15" spans="1:3" ht="30" customHeight="1" x14ac:dyDescent="0.3">
      <c r="A15" s="22" t="s">
        <v>584</v>
      </c>
      <c r="B15" s="23">
        <f>COUNTIF(Trazabilidad!$A$5:$A$61,"?*")</f>
        <v>24</v>
      </c>
      <c r="C15" s="24" t="s">
        <v>585</v>
      </c>
    </row>
    <row r="16" spans="1:3" ht="30" customHeight="1" x14ac:dyDescent="0.3">
      <c r="A16" s="22" t="s">
        <v>586</v>
      </c>
      <c r="B16" s="23">
        <f>COUNTIF(Trazabilidad!$F$5:$F$61,"Hallazgo sin destino")</f>
        <v>0</v>
      </c>
      <c r="C16" s="24" t="s">
        <v>587</v>
      </c>
    </row>
    <row r="17" spans="1:3" ht="30" customHeight="1" x14ac:dyDescent="0.3">
      <c r="A17" s="22" t="s">
        <v>588</v>
      </c>
      <c r="B17" s="23">
        <f>COUNTIF(Entidades!$E$5:$E$45,"Entidad")</f>
        <v>9</v>
      </c>
      <c r="C17" s="24" t="s">
        <v>589</v>
      </c>
    </row>
    <row r="18" spans="1:3" ht="30" customHeight="1" x14ac:dyDescent="0.3">
      <c r="A18" s="22" t="s">
        <v>590</v>
      </c>
      <c r="B18" s="23">
        <f>COUNTIF(Entidades!$A$5:$A$45,"?*")-COUNTIF(Entidades!$E$5:$E$45,"Entidad")</f>
        <v>4</v>
      </c>
      <c r="C18" s="24" t="s">
        <v>591</v>
      </c>
    </row>
    <row r="19" spans="1:3" ht="30" customHeight="1" x14ac:dyDescent="0.3">
      <c r="A19" s="22" t="s">
        <v>592</v>
      </c>
      <c r="B19" s="23">
        <f>COUNTIF(Reglas!$C$5:$C$40,"?*")</f>
        <v>13</v>
      </c>
      <c r="C19" s="24" t="s">
        <v>593</v>
      </c>
    </row>
    <row r="20" spans="1:3" ht="30" customHeight="1" x14ac:dyDescent="0.3">
      <c r="A20" s="22" t="s">
        <v>594</v>
      </c>
      <c r="B20" s="23">
        <f>COUNTIF(Reglas!$E$5:$E$40,"Pendiente")+COUNTIF(Reglas!$E$5:$E$40,"En disputa")</f>
        <v>0</v>
      </c>
      <c r="C20" s="24" t="s">
        <v>595</v>
      </c>
    </row>
    <row r="21" spans="1:3" ht="30" customHeight="1" x14ac:dyDescent="0.3">
      <c r="A21" s="22" t="s">
        <v>596</v>
      </c>
      <c r="B21" s="23">
        <f>COUNTIF(Glosario!$E$5:$E$45,"Sí")</f>
        <v>4</v>
      </c>
      <c r="C21" s="24" t="s">
        <v>597</v>
      </c>
    </row>
    <row r="22" spans="1:3" ht="30" customHeight="1" x14ac:dyDescent="0.3">
      <c r="A22" s="22" t="s">
        <v>598</v>
      </c>
      <c r="B22" s="23">
        <f>SUM(Iteraciones!$G$5:$G$12)</f>
        <v>176</v>
      </c>
      <c r="C22" s="24" t="s">
        <v>599</v>
      </c>
    </row>
    <row r="23" spans="1:3" ht="30" customHeight="1" x14ac:dyDescent="0.3">
      <c r="A23" s="22" t="s">
        <v>600</v>
      </c>
      <c r="B23" s="23" t="str">
        <f>Recursos!$F$38</f>
        <v>Coherente</v>
      </c>
      <c r="C23" s="24" t="s">
        <v>601</v>
      </c>
    </row>
    <row r="25" spans="1:3" ht="15" customHeight="1" x14ac:dyDescent="0.3">
      <c r="A25" s="14" t="s">
        <v>602</v>
      </c>
    </row>
    <row r="26" spans="1:3" ht="15" customHeight="1" x14ac:dyDescent="0.3">
      <c r="A26" s="42" t="s">
        <v>603</v>
      </c>
      <c r="B26" s="37"/>
      <c r="C26" s="37"/>
    </row>
    <row r="27" spans="1:3" ht="15" customHeight="1" x14ac:dyDescent="0.3">
      <c r="A27" s="37"/>
      <c r="B27" s="37"/>
      <c r="C27" s="37"/>
    </row>
  </sheetData>
  <mergeCells count="3">
    <mergeCell ref="A1:C1"/>
    <mergeCell ref="A2:C2"/>
    <mergeCell ref="A26:C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62" customWidth="1"/>
    <col min="3" max="3" width="22" customWidth="1"/>
    <col min="4" max="4" width="80" customWidth="1"/>
  </cols>
  <sheetData>
    <row r="1" spans="1:4" ht="15.6" customHeight="1" x14ac:dyDescent="0.3">
      <c r="A1" s="32" t="s">
        <v>604</v>
      </c>
    </row>
    <row r="2" spans="1:4" x14ac:dyDescent="0.3">
      <c r="A2" s="33" t="s">
        <v>605</v>
      </c>
    </row>
    <row r="4" spans="1:4" x14ac:dyDescent="0.3">
      <c r="A4" s="10" t="s">
        <v>606</v>
      </c>
      <c r="B4" s="10" t="s">
        <v>607</v>
      </c>
      <c r="C4" s="10" t="s">
        <v>608</v>
      </c>
      <c r="D4" s="10" t="s">
        <v>609</v>
      </c>
    </row>
    <row r="5" spans="1:4" ht="30" customHeight="1" x14ac:dyDescent="0.3">
      <c r="A5" s="34" t="s">
        <v>178</v>
      </c>
      <c r="B5" s="34" t="s">
        <v>610</v>
      </c>
      <c r="C5" s="34" t="s">
        <v>611</v>
      </c>
      <c r="D5" s="34" t="s">
        <v>612</v>
      </c>
    </row>
    <row r="6" spans="1:4" ht="30" customHeight="1" x14ac:dyDescent="0.3">
      <c r="A6" s="34" t="s">
        <v>181</v>
      </c>
      <c r="B6" s="34" t="s">
        <v>613</v>
      </c>
      <c r="C6" s="34" t="s">
        <v>614</v>
      </c>
      <c r="D6" s="34" t="s">
        <v>615</v>
      </c>
    </row>
    <row r="7" spans="1:4" ht="30" customHeight="1" x14ac:dyDescent="0.3">
      <c r="A7" s="34" t="s">
        <v>185</v>
      </c>
      <c r="B7" s="34" t="s">
        <v>616</v>
      </c>
      <c r="C7" s="34" t="s">
        <v>617</v>
      </c>
      <c r="D7" s="34" t="s">
        <v>618</v>
      </c>
    </row>
    <row r="8" spans="1:4" ht="30" customHeight="1" x14ac:dyDescent="0.3">
      <c r="A8" s="34" t="s">
        <v>189</v>
      </c>
      <c r="B8" s="34" t="s">
        <v>619</v>
      </c>
      <c r="C8" s="34" t="s">
        <v>620</v>
      </c>
      <c r="D8" s="34" t="s">
        <v>621</v>
      </c>
    </row>
    <row r="9" spans="1:4" ht="30" customHeight="1" x14ac:dyDescent="0.3">
      <c r="A9" s="34" t="s">
        <v>193</v>
      </c>
      <c r="B9" s="34" t="s">
        <v>622</v>
      </c>
      <c r="C9" s="35" t="s">
        <v>623</v>
      </c>
      <c r="D9" s="34" t="s">
        <v>624</v>
      </c>
    </row>
    <row r="10" spans="1:4" ht="30" customHeight="1" x14ac:dyDescent="0.3">
      <c r="A10" s="34" t="s">
        <v>196</v>
      </c>
      <c r="B10" s="34" t="s">
        <v>625</v>
      </c>
      <c r="C10" s="35" t="s">
        <v>623</v>
      </c>
      <c r="D10" s="34" t="s">
        <v>626</v>
      </c>
    </row>
    <row r="11" spans="1:4" ht="30" customHeight="1" x14ac:dyDescent="0.3">
      <c r="A11" s="34" t="s">
        <v>200</v>
      </c>
      <c r="B11" s="34" t="s">
        <v>627</v>
      </c>
      <c r="C11" s="34" t="s">
        <v>628</v>
      </c>
      <c r="D11" s="34" t="s">
        <v>629</v>
      </c>
    </row>
    <row r="12" spans="1:4" ht="30" customHeight="1" x14ac:dyDescent="0.3">
      <c r="A12" s="34" t="s">
        <v>204</v>
      </c>
      <c r="B12" s="34" t="s">
        <v>630</v>
      </c>
      <c r="C12" s="34" t="s">
        <v>631</v>
      </c>
      <c r="D12" s="34" t="s">
        <v>632</v>
      </c>
    </row>
    <row r="13" spans="1:4" ht="30" customHeight="1" x14ac:dyDescent="0.3">
      <c r="A13" s="34" t="s">
        <v>208</v>
      </c>
      <c r="B13" s="34" t="s">
        <v>633</v>
      </c>
      <c r="C13" s="34" t="s">
        <v>185</v>
      </c>
      <c r="D13" s="34" t="s">
        <v>634</v>
      </c>
    </row>
    <row r="14" spans="1:4" ht="30" customHeight="1" x14ac:dyDescent="0.3">
      <c r="A14" s="34" t="s">
        <v>212</v>
      </c>
      <c r="B14" s="34" t="s">
        <v>635</v>
      </c>
      <c r="C14" s="35" t="s">
        <v>623</v>
      </c>
      <c r="D14" s="34" t="s">
        <v>636</v>
      </c>
    </row>
    <row r="15" spans="1:4" ht="30" customHeight="1" x14ac:dyDescent="0.3">
      <c r="A15" s="34" t="s">
        <v>216</v>
      </c>
      <c r="B15" s="34" t="s">
        <v>637</v>
      </c>
      <c r="C15" s="34" t="s">
        <v>638</v>
      </c>
      <c r="D15" s="34" t="s">
        <v>639</v>
      </c>
    </row>
    <row r="16" spans="1:4" ht="30" customHeight="1" x14ac:dyDescent="0.3">
      <c r="A16" s="34" t="s">
        <v>219</v>
      </c>
      <c r="B16" s="34" t="s">
        <v>640</v>
      </c>
      <c r="C16" s="34" t="s">
        <v>641</v>
      </c>
      <c r="D16" s="34" t="s">
        <v>642</v>
      </c>
    </row>
    <row r="17" spans="1:4" ht="30" customHeight="1" x14ac:dyDescent="0.3">
      <c r="A17" s="34" t="s">
        <v>223</v>
      </c>
      <c r="B17" s="34" t="s">
        <v>643</v>
      </c>
      <c r="C17" s="34" t="s">
        <v>644</v>
      </c>
      <c r="D17" s="34"/>
    </row>
    <row r="18" spans="1:4" ht="30" customHeight="1" x14ac:dyDescent="0.3">
      <c r="A18" s="34" t="s">
        <v>227</v>
      </c>
      <c r="B18" s="34" t="s">
        <v>645</v>
      </c>
      <c r="C18" s="35" t="s">
        <v>623</v>
      </c>
      <c r="D18" s="34" t="s">
        <v>646</v>
      </c>
    </row>
    <row r="19" spans="1:4" ht="30" customHeight="1" x14ac:dyDescent="0.3">
      <c r="A19" s="34" t="s">
        <v>229</v>
      </c>
      <c r="B19" s="34" t="s">
        <v>647</v>
      </c>
      <c r="C19" s="35" t="s">
        <v>623</v>
      </c>
      <c r="D19" s="34" t="s">
        <v>648</v>
      </c>
    </row>
    <row r="20" spans="1:4" ht="30" customHeight="1" x14ac:dyDescent="0.3">
      <c r="A20" s="34" t="s">
        <v>232</v>
      </c>
      <c r="B20" s="34" t="s">
        <v>649</v>
      </c>
      <c r="C20" s="34" t="s">
        <v>208</v>
      </c>
      <c r="D20" s="34"/>
    </row>
    <row r="21" spans="1:4" ht="30" customHeight="1" x14ac:dyDescent="0.3">
      <c r="A21" s="34" t="s">
        <v>235</v>
      </c>
      <c r="B21" s="34" t="s">
        <v>650</v>
      </c>
      <c r="C21" s="35" t="s">
        <v>623</v>
      </c>
      <c r="D21" s="34" t="s">
        <v>651</v>
      </c>
    </row>
    <row r="22" spans="1:4" ht="30" customHeight="1" x14ac:dyDescent="0.3">
      <c r="A22" s="34" t="s">
        <v>652</v>
      </c>
      <c r="B22" s="34" t="s">
        <v>653</v>
      </c>
      <c r="C22" s="35" t="s">
        <v>623</v>
      </c>
      <c r="D22" s="34" t="s">
        <v>654</v>
      </c>
    </row>
    <row r="23" spans="1:4" ht="30" customHeight="1" x14ac:dyDescent="0.3">
      <c r="A23" s="34" t="s">
        <v>655</v>
      </c>
      <c r="B23" s="34" t="s">
        <v>656</v>
      </c>
      <c r="C23" s="35" t="s">
        <v>623</v>
      </c>
      <c r="D23" s="34" t="s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Instrucciones</vt:lpstr>
      <vt:lpstr>Catálogo</vt:lpstr>
      <vt:lpstr>Trazabilidad</vt:lpstr>
      <vt:lpstr>Entidades</vt:lpstr>
      <vt:lpstr>Reglas</vt:lpstr>
      <vt:lpstr>Glosario</vt:lpstr>
      <vt:lpstr>Iteraciones</vt:lpstr>
      <vt:lpstr>Recursos</vt:lpstr>
      <vt:lpstr>Panel</vt:lpstr>
      <vt:lpstr>Equivalencias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Leal</cp:lastModifiedBy>
  <cp:revision>0</cp:revision>
  <dcterms:created xsi:type="dcterms:W3CDTF">2026-09-10T23:59:21Z</dcterms:created>
  <dcterms:modified xsi:type="dcterms:W3CDTF">2026-10-20T01:30:16Z</dcterms:modified>
  <dc:language>en-US</dc:language>
</cp:coreProperties>
</file>