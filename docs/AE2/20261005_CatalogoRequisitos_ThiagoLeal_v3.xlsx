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EF7FC0DB537A4C5052A15F29E5FA04E3EBD19D46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5" i="9"/>
  <c r="B14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B19" i="7"/>
  <c r="B21" i="7" s="1"/>
  <c r="G8" i="7"/>
  <c r="G7" i="7"/>
  <c r="G6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B16" i="9" l="1"/>
  <c r="H60" i="7"/>
  <c r="G5" i="7"/>
  <c r="F5" i="8"/>
  <c r="F36" i="8" s="1"/>
  <c r="F37" i="8"/>
  <c r="F38" i="8" s="1"/>
  <c r="B23" i="9" s="1"/>
  <c r="B22" i="9" l="1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<sst xmlns="http://schemas.openxmlformats.org/spreadsheetml/2006/main" count="935" uniqueCount="645">
  <si>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</si>
  <si>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</si>
  <si>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</si>
  <si>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</si>
  <si>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</si>
  <si>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</si>
  <si>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</si>
  <si>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</si>
  <si>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</si>
  <si>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</si>
  <si>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</si>
  <si>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</si>
  <si>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</si>
  <si>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</si>
  <si>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</si>
  <si>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</si>
  <si>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</si>
  <si>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</si>
  <si>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</si>
  <si>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</si>
  <si>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</si>
  <si>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</si>
  <si>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</si>
  <si>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</si>
  <si>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</si>
  <si>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</si>
  <si>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</si>
  <si>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</si>
  <si>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</si>
  <si>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</si>
  <si>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</si>
  <si>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</si>
  <si>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</si>
  <si>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</si>
  <si>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</si>
  <si>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</si>
  <si>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</si>
  <si>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</si>
  <si>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</si>
  <si>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</si>
  <si>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</si>
  <si>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</si>
  <si>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</si>
  <si>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</si>
  <si>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</si>
  <si>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</si>
  <si>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</si>
  <si>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</si>
  <si>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</si>
  <si>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</si>
  <si>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</si>
  <si>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</si>
  <si>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</si>
  <si>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</si>
  <si>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</si>
  <si>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</si>
  <si>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</si>
  <si>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</si>
  <si>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La gerencia aprobó los importes de la tarifa en el acta del 06/10/2026; el acta del 23/09 había aprobado la regla.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</si>
  <si>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</si>
  <si>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</si>
  <si>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</si>
  <si>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</si>
  <si>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</si>
  <si>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</si>
  <si>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</si>
  <si>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</si>
  <si>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</si>
  <si>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</si>
  <si>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</si>
  <si>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</si>
  <si>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</si>
  <si>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</si>
  <si>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</si>
  <si>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</si>
  <si>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</si>
  <si>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</si>
  <si>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</si>
  <si>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</si>
  <si>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</si>
  <si>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</si>
  <si>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</si>
  <si>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</si>
  <si>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</si>
  <si>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</si>
  <si>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</si>
  <si>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</si>
  <si>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</si>
  <si>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</si>
  <si>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</si>
  <si>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</si>
  <si>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</si>
  <si>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</si>
  <si>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</si>
  <si>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 · Acta 23/09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</si>
  <si>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</si>
  <si>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</si>
  <si>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</si>
  <si>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</si>
  <si>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</si>
  <si>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 · Acta 23/09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</si>
  <si>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</si>
  <si>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</si>
  <si>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</si>
  <si>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</si>
  <si>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</si>
  <si>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 · Acta 23/09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</si>
  <si>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</si>
  <si>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</si>
  <si>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</si>
  <si>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</si>
  <si>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</si>
  <si>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 · Acta 23/09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</si>
  <si>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</si>
  <si>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</si>
  <si>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</si>
  <si>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</si>
  <si>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</si>
  <si>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</si>
  <si>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</si>
  <si>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</si>
  <si>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</si>
  <si>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</si>
  <si>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</si>
  <si>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</si>
  <si>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La gerencia aprobó el umbral en el acta del 06/10/2026.</t>
  </si>
  <si>
    <t>H-02, H-08, H-14 · Acta 23/09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</si>
  <si>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</si>
  <si>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</si>
  <si>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</si>
  <si>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</si>
  <si>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</si>
  <si>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</si>
  <si>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</si>
  <si>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</si>
  <si>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</si>
  <si>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</si>
  <si>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La gerencia aprobó el requisito en el acta del 06/10/2026; el mecanismo se decide en el prototipo v2.</t>
  </si>
  <si>
    <t>H-06, H-17 · Acta 23/09</t>
  </si>
  <si>
    <t>RNF-05</t>
  </si>
  <si>
    <t>La interfaz se usa sin desplazamiento horizontal en 1366 × 768 px y con controles de al menos 44 × 44 px.</t>
  </si>
  <si>
    <t>Usabilidad</t>
  </si>
  <si>
    <t>Debe operar en la terminal de la ventanilla. La gerencia aprobó el requisito en el acta del 06/10/2026, pero la resolución real de ese monitor no se informó: queda pendiente fecharla.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</si>
  <si>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</si>
  <si>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 · Acta 23/09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</si>
  <si>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</si>
  <si>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</si>
  <si>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</si>
  <si>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</si>
  <si>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 · Acta 23/09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</si>
  <si>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</si>
  <si>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</si>
  <si>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</si>
  <si>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</si>
  <si>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</si>
  <si>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 · Acta 23/09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</si>
  <si>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</si>
  <si>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</si>
  <si>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 gerencia aprobó las 24 h en el acta del 06/10/2026 y declaró que necesita la patente por razones de seguridad; informó que no hay indicación del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</si>
  <si>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</si>
  <si>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 · Acta 23/09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</si>
  <si>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</si>
  <si>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</si>
  <si>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</si>
  <si>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no se definió en la sesión del 06/10/2026 y queda pendiente.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</si>
  <si>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</si>
  <si>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</si>
  <si>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</si>
  <si>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</si>
  <si>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</si>
  <si>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</si>
  <si>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</si>
  <si>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</si>
  <si>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</si>
  <si>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informaba 20 a 30 y 40 a 50; rige lo que la gerencia dijo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</si>
  <si>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</si>
  <si>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</si>
  <si>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</si>
  <si>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</si>
  <si>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</si>
  <si>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</si>
  <si>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</si>
  <si>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</si>
  <si>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</si>
  <si>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</si>
  <si>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</si>
  <si>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</si>
  <si>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</si>
  <si>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</si>
  <si>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</si>
  <si>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</si>
  <si>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</si>
  <si>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</si>
  <si>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</si>
  <si>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</si>
  <si>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H-07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</si>
  <si>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</si>
  <si>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</si>
  <si>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</si>
  <si>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</si>
  <si>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</si>
  <si>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</si>
  <si>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</si>
  <si>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H-09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</si>
  <si>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</si>
  <si>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</si>
  <si>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</si>
  <si>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</si>
  <si>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</si>
  <si>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</si>
  <si>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</si>
  <si>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</si>
  <si>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quedó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</si>
  <si>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</si>
  <si>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</si>
  <si>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</si>
  <si>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</si>
  <si>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</si>
  <si>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</si>
  <si>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</si>
  <si>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</si>
  <si>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</si>
  <si>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</si>
  <si>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</si>
  <si>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</si>
  <si>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</si>
  <si>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</si>
  <si>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</si>
  <si>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</si>
  <si>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</si>
  <si>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</si>
  <si>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</si>
  <si>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</si>
  <si>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</si>
  <si>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</si>
  <si>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</si>
  <si>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</si>
  <si>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</si>
  <si>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</si>
  <si>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</si>
  <si>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</si>
  <si>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</si>
  <si>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</si>
  <si>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</si>
  <si>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</si>
  <si>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</si>
  <si>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H-23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</si>
  <si>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</si>
  <si>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</si>
  <si>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</si>
  <si>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</si>
  <si>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</si>
  <si>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</si>
  <si>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</si>
  <si>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</si>
  <si>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</si>
  <si>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</si>
  <si>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</si>
  <si>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</si>
  <si>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</si>
  <si>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</si>
  <si>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</si>
  <si>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</si>
  <si>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</si>
  <si>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</si>
  <si>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</si>
  <si>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</si>
  <si>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</si>
  <si>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</si>
  <si>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</si>
  <si>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</si>
  <si>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</si>
  <si>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</si>
  <si>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</si>
  <si>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</si>
  <si>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</si>
  <si>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</si>
  <si>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</si>
  <si>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</si>
  <si>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</si>
  <si>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</si>
  <si>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</si>
  <si>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</si>
  <si>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</si>
  <si>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</si>
  <si>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</si>
  <si>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</si>
  <si>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</si>
  <si>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</si>
  <si>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</si>
  <si>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</si>
  <si>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</si>
  <si>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</si>
  <si>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</si>
  <si>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</si>
  <si>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</si>
  <si>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</si>
  <si>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</si>
  <si>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</si>
  <si>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</si>
  <si>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</si>
  <si>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</si>
  <si>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</si>
  <si>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</si>
  <si>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</si>
  <si>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</si>
  <si>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</si>
  <si>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</si>
  <si>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</si>
  <si>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</si>
  <si>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</si>
  <si>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</si>
  <si>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</si>
  <si>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</si>
  <si>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</si>
  <si>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</si>
  <si>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</si>
  <si>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</si>
  <si>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</si>
  <si>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</si>
  <si>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</si>
  <si>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</si>
  <si>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</si>
  <si>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</si>
  <si>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</si>
  <si>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</si>
  <si>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</si>
  <si>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</si>
  <si>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</si>
  <si>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</si>
  <si>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</si>
  <si>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</si>
  <si>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</si>
  <si>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</si>
  <si>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</si>
  <si>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</si>
  <si>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</si>
  <si>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</si>
  <si>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</si>
  <si>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</si>
  <si>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</si>
  <si>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</si>
  <si>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</si>
  <si>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</si>
  <si>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</si>
  <si>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</si>
  <si>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</si>
  <si>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</si>
  <si>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</si>
  <si>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</si>
  <si>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</si>
  <si>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</si>
  <si>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</si>
  <si>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</si>
  <si>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</si>
  <si>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</si>
  <si>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</si>
  <si>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</si>
  <si>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</si>
  <si>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</si>
  <si>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</si>
  <si>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</si>
  <si>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</si>
  <si>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</si>
  <si>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</si>
  <si>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</si>
  <si>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</si>
  <si>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</si>
  <si>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</si>
  <si>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</si>
  <si>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</si>
  <si>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</si>
  <si>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</si>
  <si>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</si>
  <si>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</si>
  <si>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</si>
  <si>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</si>
  <si>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</si>
  <si>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</si>
  <si>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</si>
  <si>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</si>
  <si>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</si>
  <si>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</si>
  <si>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</si>
  <si>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</si>
  <si>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</si>
  <si>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</si>
  <si>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</si>
  <si>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</si>
  <si>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</si>
  <si>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</si>
  <si>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</si>
  <si>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</si>
  <si>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</si>
  <si>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</si>
  <si>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</si>
  <si>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</si>
  <si>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</si>
  <si>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</si>
  <si>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</si>
  <si>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</si>
  <si>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</si>
  <si>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</si>
  <si>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</si>
  <si>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</si>
  <si>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</si>
  <si>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</si>
  <si>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</si>
  <si>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</si>
  <si>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</si>
  <si>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</si>
  <si>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</si>
  <si>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</si>
  <si>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</si>
  <si>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</si>
  <si>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</si>
  <si>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</si>
  <si>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</si>
  <si>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</si>
  <si>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</si>
  <si>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</si>
  <si>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</si>
  <si>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</si>
  <si>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</si>
  <si>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</si>
  <si>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</si>
  <si>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</si>
  <si>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</si>
  <si>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</si>
  <si>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</si>
  <si>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</si>
  <si>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</si>
  <si>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</si>
  <si>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</si>
  <si>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adelantaron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</si>
  <si>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</si>
  <si>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</si>
  <si>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</si>
  <si>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</si>
  <si>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</si>
  <si>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</si>
  <si>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</si>
  <si>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</si>
  <si>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</si>
  <si>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</si>
  <si>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</si>
  <si>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</si>
  <si>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</si>
  <si>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</si>
  <si>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</si>
  <si>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</si>
  <si>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</si>
  <si>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</si>
  <si>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</si>
  <si>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</si>
  <si>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</si>
  <si>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</si>
  <si>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</si>
  <si>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</si>
  <si>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</si>
  <si>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</si>
  <si>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</si>
  <si>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</si>
  <si>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</si>
  <si>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</si>
  <si>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</si>
  <si>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</si>
  <si>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</si>
  <si>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</si>
  <si>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</si>
  <si>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</si>
  <si>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</si>
  <si>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</si>
  <si>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</si>
  <si>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</si>
  <si>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</si>
  <si>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</si>
  <si>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</si>
  <si>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</si>
  <si>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</si>
  <si>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</si>
  <si>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</si>
  <si>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</si>
  <si>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</si>
  <si>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</si>
  <si>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</si>
  <si>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</si>
  <si>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</si>
  <si>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</si>
  <si>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</si>
  <si>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</si>
  <si>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</si>
  <si>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</si>
  <si>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</si>
  <si>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</si>
  <si>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</si>
  <si>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</si>
  <si>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</si>
  <si>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</si>
  <si>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</si>
  <si>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</si>
  <si>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</si>
  <si>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</si>
  <si>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</si>
  <si>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</si>
  <si>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</si>
  <si>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</si>
  <si>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</si>
  <si>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</si>
  <si>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</si>
  <si>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</si>
  <si>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</si>
  <si>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</si>
  <si>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</si>
  <si>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</si>
  <si>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</si>
  <si>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</si>
  <si>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</si>
  <si>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</si>
  <si>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</si>
  <si>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</si>
  <si>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del monitor: pendiente de relevar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</si>
  <si>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</si>
  <si>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</si>
  <si>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</si>
  <si>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</si>
  <si>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</si>
  <si>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</si>
  <si>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</si>
  <si>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</si>
  <si>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</si>
  <si>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</si>
  <si>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</si>
  <si>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</si>
  <si>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</si>
  <si>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</si>
  <si>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</si>
  <si>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</si>
  <si>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</si>
  <si>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</si>
  <si>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</si>
  <si>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</si>
  <si>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pactadas con la gerencia (pendiente de acuerdo).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</si>
  <si>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</si>
  <si>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</si>
  <si>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</si>
  <si>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</si>
  <si>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</si>
  <si>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</si>
  <si>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</si>
  <si>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</si>
  <si>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</si>
  <si>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</si>
  <si>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</si>
  <si>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</si>
  <si>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</si>
  <si>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</si>
  <si>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</si>
  <si>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</si>
  <si>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</si>
  <si>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</si>
  <si>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</si>
  <si>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</si>
  <si>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</si>
  <si>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</si>
  <si>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</si>
  <si>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</si>
  <si>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</si>
  <si>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</si>
  <si>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</si>
  <si>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</si>
  <si>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</si>
  <si>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</si>
  <si>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</si>
  <si>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</si>
  <si>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</si>
  <si>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</si>
  <si>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</si>
  <si>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</si>
  <si>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</si>
  <si>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</si>
  <si>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</si>
  <si>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</si>
  <si>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</si>
  <si>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</si>
  <si>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</si>
  <si>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</si>
  <si>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</si>
  <si>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</si>
  <si>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</si>
  <si>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</si>
  <si>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</si>
  <si>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</si>
  <si>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</si>
  <si>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</si>
  <si>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</si>
  <si>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</si>
  <si>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</si>
  <si>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</si>
  <si>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</si>
  <si>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</si>
  <si>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</si>
  <si>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</si>
  <si>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</si>
  <si>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</si>
  <si>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</si>
  <si>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</si>
  <si>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</si>
  <si>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</si>
  <si>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</si>
  <si>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</si>
  <si>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</si>
  <si>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</si>
  <si>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</si>
  <si>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</si>
  <si>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</si>
  <si>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</si>
  <si>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</si>
  <si>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</si>
  <si>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</si>
  <si>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</si>
  <si>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</si>
  <si>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</si>
  <si>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</si>
  <si>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</si>
  <si>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</si>
  <si>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</si>
  <si>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</si>
  <si>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</si>
  <si>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</si>
  <si>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</si>
  <si>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</si>
  <si>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</si>
  <si>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</si>
  <si>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</si>
  <si>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Pendiente de relevar y fechar.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</si>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</sst>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48</v>
      </c>
      <c r="J14" s="12">
        <v>4</v>
      </c>
      <c r="K14" s="12" t="s">
        <v>95</v>
      </c>
      <c r="L14" s="11" t="str">
        <f t="shared" si="0"/>
        <v>Fila completa</v>
      </c>
    </row>
    <row r="15" spans="1:12" ht="66" customHeight="1" x14ac:dyDescent="0.3">
      <c r="A15" s="13" t="s">
        <v>96</v>
      </c>
      <c r="B15" s="13" t="s">
        <v>97</v>
      </c>
      <c r="C15" s="13" t="s">
        <v>43</v>
      </c>
      <c r="D15" s="13"/>
      <c r="E15" s="13" t="s">
        <v>91</v>
      </c>
      <c r="F15" s="13" t="s">
        <v>98</v>
      </c>
      <c r="G15" s="13" t="s">
        <v>99</v>
      </c>
      <c r="H15" s="13" t="s">
        <v>100</v>
      </c>
      <c r="I15" s="13" t="s">
        <v>48</v>
      </c>
      <c r="J15" s="13">
        <v>4</v>
      </c>
      <c r="K15" s="13" t="s">
        <v>95</v>
      </c>
      <c r="L15" s="11" t="str">
        <f t="shared" si="0"/>
        <v>Fila completa</v>
      </c>
    </row>
    <row r="16" spans="1:12" ht="66" customHeight="1" x14ac:dyDescent="0.3">
      <c r="A16" s="12" t="s">
        <v>101</v>
      </c>
      <c r="B16" s="12" t="s">
        <v>102</v>
      </c>
      <c r="C16" s="12" t="s">
        <v>43</v>
      </c>
      <c r="D16" s="12"/>
      <c r="E16" s="12" t="s">
        <v>103</v>
      </c>
      <c r="F16" s="12" t="s">
        <v>104</v>
      </c>
      <c r="G16" s="12" t="s">
        <v>105</v>
      </c>
      <c r="H16" s="12" t="s">
        <v>106</v>
      </c>
      <c r="I16" s="12" t="s">
        <v>48</v>
      </c>
      <c r="J16" s="12">
        <v>4</v>
      </c>
      <c r="K16" s="12" t="s">
        <v>95</v>
      </c>
      <c r="L16" s="11" t="str">
        <f t="shared" si="0"/>
        <v>Fila completa</v>
      </c>
    </row>
    <row r="17" spans="1:12" ht="66" customHeight="1" x14ac:dyDescent="0.3">
      <c r="A17" s="13" t="s">
        <v>107</v>
      </c>
      <c r="B17" s="13" t="s">
        <v>108</v>
      </c>
      <c r="C17" s="13" t="s">
        <v>43</v>
      </c>
      <c r="D17" s="13"/>
      <c r="E17" s="13" t="s">
        <v>109</v>
      </c>
      <c r="F17" s="13" t="s">
        <v>110</v>
      </c>
      <c r="G17" s="13" t="s">
        <v>111</v>
      </c>
      <c r="H17" s="13" t="s">
        <v>112</v>
      </c>
      <c r="I17" s="13" t="s">
        <v>48</v>
      </c>
      <c r="J17" s="13" t="s">
        <v>113</v>
      </c>
      <c r="K17" s="13" t="s">
        <v>95</v>
      </c>
      <c r="L17" s="11" t="str">
        <f t="shared" si="0"/>
        <v>Fila completa</v>
      </c>
    </row>
    <row r="18" spans="1:12" ht="126" customHeight="1" x14ac:dyDescent="0.3">
      <c r="A18" s="12" t="s">
        <v>114</v>
      </c>
      <c r="B18" s="12" t="s">
        <v>115</v>
      </c>
      <c r="C18" s="12" t="s">
        <v>116</v>
      </c>
      <c r="D18" s="12" t="s">
        <v>117</v>
      </c>
      <c r="E18" s="12" t="s">
        <v>44</v>
      </c>
      <c r="F18" s="12" t="s">
        <v>118</v>
      </c>
      <c r="G18" s="12" t="s">
        <v>119</v>
      </c>
      <c r="H18" s="12" t="s">
        <v>120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121</v>
      </c>
      <c r="B19" s="13" t="s">
        <v>122</v>
      </c>
      <c r="C19" s="13" t="s">
        <v>116</v>
      </c>
      <c r="D19" s="13" t="s">
        <v>123</v>
      </c>
      <c r="E19" s="13" t="s">
        <v>44</v>
      </c>
      <c r="F19" s="13" t="s">
        <v>124</v>
      </c>
      <c r="G19" s="13" t="s">
        <v>125</v>
      </c>
      <c r="H19" s="13" t="s">
        <v>126</v>
      </c>
      <c r="I19" s="13" t="s">
        <v>48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127</v>
      </c>
      <c r="B20" s="12" t="s">
        <v>128</v>
      </c>
      <c r="C20" s="12" t="s">
        <v>116</v>
      </c>
      <c r="D20" s="12" t="s">
        <v>129</v>
      </c>
      <c r="E20" s="12" t="s">
        <v>44</v>
      </c>
      <c r="F20" s="12" t="s">
        <v>130</v>
      </c>
      <c r="G20" s="12" t="s">
        <v>131</v>
      </c>
      <c r="H20" s="12" t="s">
        <v>132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14" customHeight="1" x14ac:dyDescent="0.3">
      <c r="A21" s="13" t="s">
        <v>133</v>
      </c>
      <c r="B21" s="13" t="s">
        <v>134</v>
      </c>
      <c r="C21" s="13" t="s">
        <v>116</v>
      </c>
      <c r="D21" s="13" t="s">
        <v>135</v>
      </c>
      <c r="E21" s="13" t="s">
        <v>44</v>
      </c>
      <c r="F21" s="13" t="s">
        <v>136</v>
      </c>
      <c r="G21" s="13" t="s">
        <v>137</v>
      </c>
      <c r="H21" s="13" t="s">
        <v>138</v>
      </c>
      <c r="I21" s="13" t="s">
        <v>48</v>
      </c>
      <c r="J21" s="13">
        <v>3</v>
      </c>
      <c r="K21" s="13" t="s">
        <v>49</v>
      </c>
      <c r="L21" s="11" t="str">
        <f t="shared" si="0"/>
        <v>Fila completa</v>
      </c>
    </row>
    <row r="22" spans="1:12" ht="90" customHeight="1" x14ac:dyDescent="0.3">
      <c r="A22" s="12" t="s">
        <v>139</v>
      </c>
      <c r="B22" s="12" t="s">
        <v>140</v>
      </c>
      <c r="C22" s="12" t="s">
        <v>116</v>
      </c>
      <c r="D22" s="12" t="s">
        <v>141</v>
      </c>
      <c r="E22" s="12" t="s">
        <v>44</v>
      </c>
      <c r="F22" s="12" t="s">
        <v>142</v>
      </c>
      <c r="G22" s="12" t="s">
        <v>143</v>
      </c>
      <c r="H22" s="12" t="s">
        <v>144</v>
      </c>
      <c r="I22" s="12" t="s">
        <v>48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145</v>
      </c>
      <c r="B23" s="13" t="s">
        <v>146</v>
      </c>
      <c r="C23" s="13" t="s">
        <v>116</v>
      </c>
      <c r="D23" s="13" t="s">
        <v>117</v>
      </c>
      <c r="E23" s="13" t="s">
        <v>91</v>
      </c>
      <c r="F23" s="13" t="s">
        <v>147</v>
      </c>
      <c r="G23" s="13" t="s">
        <v>148</v>
      </c>
      <c r="H23" s="13" t="s">
        <v>149</v>
      </c>
      <c r="I23" s="13" t="s">
        <v>48</v>
      </c>
      <c r="J23" s="13">
        <v>4</v>
      </c>
      <c r="K23" s="13" t="s">
        <v>95</v>
      </c>
      <c r="L23" s="11" t="str">
        <f t="shared" si="0"/>
        <v>Fila completa</v>
      </c>
    </row>
    <row r="24" spans="1:12" ht="66" customHeight="1" x14ac:dyDescent="0.3">
      <c r="A24" s="12" t="s">
        <v>150</v>
      </c>
      <c r="B24" s="12" t="s">
        <v>151</v>
      </c>
      <c r="C24" s="12" t="s">
        <v>116</v>
      </c>
      <c r="D24" s="12" t="s">
        <v>152</v>
      </c>
      <c r="E24" s="12" t="s">
        <v>91</v>
      </c>
      <c r="F24" s="12" t="s">
        <v>153</v>
      </c>
      <c r="G24" s="12" t="s">
        <v>154</v>
      </c>
      <c r="H24" s="12" t="s">
        <v>155</v>
      </c>
      <c r="I24" s="12" t="s">
        <v>48</v>
      </c>
      <c r="J24" s="12">
        <v>3</v>
      </c>
      <c r="K24" s="12" t="s">
        <v>95</v>
      </c>
      <c r="L24" s="11" t="str">
        <f t="shared" si="0"/>
        <v>Fila completa</v>
      </c>
    </row>
    <row r="25" spans="1:12" ht="138" customHeight="1" x14ac:dyDescent="0.3">
      <c r="A25" s="13" t="s">
        <v>156</v>
      </c>
      <c r="B25" s="13" t="s">
        <v>157</v>
      </c>
      <c r="C25" s="13" t="s">
        <v>116</v>
      </c>
      <c r="D25" s="13" t="s">
        <v>129</v>
      </c>
      <c r="E25" s="13" t="s">
        <v>44</v>
      </c>
      <c r="F25" s="13" t="s">
        <v>158</v>
      </c>
      <c r="G25" s="13" t="s">
        <v>159</v>
      </c>
      <c r="H25" s="13" t="s">
        <v>160</v>
      </c>
      <c r="I25" s="13" t="s">
        <v>48</v>
      </c>
      <c r="J25" s="13">
        <v>3</v>
      </c>
      <c r="K25" s="13" t="s">
        <v>49</v>
      </c>
      <c r="L25" s="11" t="str">
        <f t="shared" si="0"/>
        <v>Fila completa</v>
      </c>
    </row>
    <row r="26" spans="1:12" ht="114" customHeight="1" x14ac:dyDescent="0.3">
      <c r="A26" s="12" t="s">
        <v>161</v>
      </c>
      <c r="B26" s="12" t="s">
        <v>162</v>
      </c>
      <c r="C26" s="12" t="s">
        <v>116</v>
      </c>
      <c r="D26" s="12" t="s">
        <v>117</v>
      </c>
      <c r="E26" s="12" t="s">
        <v>91</v>
      </c>
      <c r="F26" s="12" t="s">
        <v>163</v>
      </c>
      <c r="G26" s="12" t="s">
        <v>164</v>
      </c>
      <c r="H26" s="12" t="s">
        <v>149</v>
      </c>
      <c r="I26" s="12" t="s">
        <v>48</v>
      </c>
      <c r="J26" s="12">
        <v>4</v>
      </c>
      <c r="K26" s="12" t="s">
        <v>95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165</v>
      </c>
      <c r="B1" s="37"/>
      <c r="C1" s="37"/>
      <c r="D1" s="37"/>
      <c r="E1" s="37"/>
      <c r="F1" s="37"/>
    </row>
    <row r="2" spans="1:6" ht="25.5" customHeight="1" x14ac:dyDescent="0.3">
      <c r="A2" s="36" t="s">
        <v>166</v>
      </c>
      <c r="B2" s="37"/>
      <c r="C2" s="37"/>
      <c r="D2" s="37"/>
      <c r="E2" s="37"/>
      <c r="F2" s="37"/>
    </row>
    <row r="4" spans="1:6" ht="30" customHeight="1" x14ac:dyDescent="0.3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spans="1:6" ht="66" customHeight="1" x14ac:dyDescent="0.3">
      <c r="A5" s="13" t="s">
        <v>173</v>
      </c>
      <c r="B5" s="13" t="s">
        <v>174</v>
      </c>
      <c r="C5" s="13" t="s">
        <v>175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176</v>
      </c>
      <c r="B6" s="12" t="s">
        <v>177</v>
      </c>
      <c r="C6" s="12" t="s">
        <v>178</v>
      </c>
      <c r="D6" s="12" t="s">
        <v>179</v>
      </c>
      <c r="E6" s="12"/>
      <c r="F6" s="11" t="str">
        <f t="shared" si="0"/>
        <v>Deriva requisito</v>
      </c>
    </row>
    <row r="7" spans="1:6" ht="42" customHeight="1" x14ac:dyDescent="0.3">
      <c r="A7" s="13" t="s">
        <v>180</v>
      </c>
      <c r="B7" s="13" t="s">
        <v>181</v>
      </c>
      <c r="C7" s="13" t="s">
        <v>182</v>
      </c>
      <c r="D7" s="13" t="s">
        <v>183</v>
      </c>
      <c r="E7" s="13"/>
      <c r="F7" s="11" t="str">
        <f t="shared" si="0"/>
        <v>Deriva requisito</v>
      </c>
    </row>
    <row r="8" spans="1:6" ht="42" customHeight="1" x14ac:dyDescent="0.3">
      <c r="A8" s="12" t="s">
        <v>184</v>
      </c>
      <c r="B8" s="12" t="s">
        <v>185</v>
      </c>
      <c r="C8" s="12" t="s">
        <v>186</v>
      </c>
      <c r="D8" s="12" t="s">
        <v>187</v>
      </c>
      <c r="E8" s="12"/>
      <c r="F8" s="11" t="str">
        <f t="shared" si="0"/>
        <v>Deriva requisito</v>
      </c>
    </row>
    <row r="9" spans="1:6" ht="42" customHeight="1" x14ac:dyDescent="0.3">
      <c r="A9" s="13" t="s">
        <v>188</v>
      </c>
      <c r="B9" s="13" t="s">
        <v>189</v>
      </c>
      <c r="C9" s="13" t="s">
        <v>186</v>
      </c>
      <c r="D9" s="13" t="s">
        <v>190</v>
      </c>
      <c r="E9" s="13"/>
      <c r="F9" s="11" t="str">
        <f t="shared" si="0"/>
        <v>Deriva requisito</v>
      </c>
    </row>
    <row r="10" spans="1:6" ht="42" customHeight="1" x14ac:dyDescent="0.3">
      <c r="A10" s="12" t="s">
        <v>191</v>
      </c>
      <c r="B10" s="12" t="s">
        <v>192</v>
      </c>
      <c r="C10" s="12" t="s">
        <v>193</v>
      </c>
      <c r="D10" s="12" t="s">
        <v>194</v>
      </c>
      <c r="E10" s="12"/>
      <c r="F10" s="11" t="str">
        <f t="shared" si="0"/>
        <v>Deriva requisito</v>
      </c>
    </row>
    <row r="11" spans="1:6" ht="30" customHeight="1" x14ac:dyDescent="0.3">
      <c r="A11" s="13" t="s">
        <v>195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203</v>
      </c>
      <c r="B13" s="13" t="s">
        <v>204</v>
      </c>
      <c r="C13" s="13" t="s">
        <v>205</v>
      </c>
      <c r="D13" s="13" t="s">
        <v>206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207</v>
      </c>
      <c r="B14" s="12" t="s">
        <v>208</v>
      </c>
      <c r="C14" s="12" t="s">
        <v>209</v>
      </c>
      <c r="D14" s="12"/>
      <c r="E14" s="12" t="s">
        <v>210</v>
      </c>
      <c r="F14" s="11" t="str">
        <f t="shared" si="0"/>
        <v>Sin requisito, justificado</v>
      </c>
    </row>
    <row r="15" spans="1:6" ht="42" customHeight="1" x14ac:dyDescent="0.3">
      <c r="A15" s="13" t="s">
        <v>211</v>
      </c>
      <c r="B15" s="13" t="s">
        <v>212</v>
      </c>
      <c r="C15" s="13" t="s">
        <v>213</v>
      </c>
      <c r="D15" s="13" t="s">
        <v>101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214</v>
      </c>
      <c r="B16" s="12" t="s">
        <v>215</v>
      </c>
      <c r="C16" s="12" t="s">
        <v>216</v>
      </c>
      <c r="D16" s="12"/>
      <c r="E16" s="12" t="s">
        <v>217</v>
      </c>
      <c r="F16" s="11" t="str">
        <f t="shared" si="0"/>
        <v>Sin requisito, justificado</v>
      </c>
    </row>
    <row r="17" spans="1:6" ht="30" customHeight="1" x14ac:dyDescent="0.3">
      <c r="A17" s="13" t="s">
        <v>218</v>
      </c>
      <c r="B17" s="13" t="s">
        <v>219</v>
      </c>
      <c r="C17" s="13" t="s">
        <v>220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221</v>
      </c>
      <c r="B18" s="12" t="s">
        <v>222</v>
      </c>
      <c r="C18" s="12" t="s">
        <v>220</v>
      </c>
      <c r="D18" s="12" t="s">
        <v>121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223</v>
      </c>
      <c r="B19" s="13" t="s">
        <v>224</v>
      </c>
      <c r="C19" s="13" t="s">
        <v>220</v>
      </c>
      <c r="D19" s="13" t="s">
        <v>225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226</v>
      </c>
      <c r="B20" s="12" t="s">
        <v>227</v>
      </c>
      <c r="C20" s="12" t="s">
        <v>220</v>
      </c>
      <c r="D20" s="12" t="s">
        <v>228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229</v>
      </c>
      <c r="B21" s="13" t="s">
        <v>230</v>
      </c>
      <c r="C21" s="13" t="s">
        <v>231</v>
      </c>
      <c r="D21" s="13" t="s">
        <v>232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233</v>
      </c>
      <c r="B22" s="12" t="s">
        <v>234</v>
      </c>
      <c r="C22" s="12" t="s">
        <v>231</v>
      </c>
      <c r="D22" s="12" t="s">
        <v>183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235</v>
      </c>
      <c r="B23" s="13" t="s">
        <v>236</v>
      </c>
      <c r="C23" s="13" t="s">
        <v>231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237</v>
      </c>
      <c r="B24" s="12" t="s">
        <v>238</v>
      </c>
      <c r="C24" s="12" t="s">
        <v>231</v>
      </c>
      <c r="D24" s="12" t="s">
        <v>239</v>
      </c>
      <c r="E24" s="12"/>
      <c r="F24" s="11" t="str">
        <f t="shared" si="0"/>
        <v>Deriva requisito</v>
      </c>
    </row>
    <row r="25" spans="1:6" ht="54" customHeight="1" x14ac:dyDescent="0.3">
      <c r="A25" s="13" t="s">
        <v>240</v>
      </c>
      <c r="B25" s="13" t="s">
        <v>241</v>
      </c>
      <c r="C25" s="13" t="s">
        <v>231</v>
      </c>
      <c r="D25" s="13"/>
      <c r="E25" s="13" t="s">
        <v>242</v>
      </c>
      <c r="F25" s="11" t="str">
        <f t="shared" si="0"/>
        <v>Sin requisito, justificado</v>
      </c>
    </row>
    <row r="26" spans="1:6" ht="42" customHeight="1" x14ac:dyDescent="0.3">
      <c r="A26" s="12" t="s">
        <v>243</v>
      </c>
      <c r="B26" s="12" t="s">
        <v>244</v>
      </c>
      <c r="C26" s="12" t="s">
        <v>231</v>
      </c>
      <c r="D26" s="12" t="s">
        <v>245</v>
      </c>
      <c r="E26" s="12"/>
      <c r="F26" s="11" t="str">
        <f t="shared" si="0"/>
        <v>Deriva requisito</v>
      </c>
    </row>
    <row r="27" spans="1:6" ht="30" customHeight="1" x14ac:dyDescent="0.3">
      <c r="A27" s="13" t="s">
        <v>246</v>
      </c>
      <c r="B27" s="13" t="s">
        <v>247</v>
      </c>
      <c r="C27" s="13" t="s">
        <v>248</v>
      </c>
      <c r="D27" s="13" t="s">
        <v>249</v>
      </c>
      <c r="E27" s="13"/>
      <c r="F27" s="11" t="str">
        <f t="shared" si="0"/>
        <v>Deriva requisito</v>
      </c>
    </row>
    <row r="28" spans="1:6" ht="42" customHeight="1" x14ac:dyDescent="0.3">
      <c r="A28" s="12" t="s">
        <v>250</v>
      </c>
      <c r="B28" s="12" t="s">
        <v>251</v>
      </c>
      <c r="C28" s="12" t="s">
        <v>248</v>
      </c>
      <c r="D28" s="12"/>
      <c r="E28" s="12" t="s">
        <v>252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253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254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255</v>
      </c>
      <c r="B4" s="10" t="s">
        <v>256</v>
      </c>
      <c r="C4" s="10" t="s">
        <v>257</v>
      </c>
      <c r="D4" s="10" t="s">
        <v>258</v>
      </c>
      <c r="E4" s="10" t="s">
        <v>259</v>
      </c>
      <c r="F4" s="10" t="s">
        <v>260</v>
      </c>
      <c r="G4" s="10" t="s">
        <v>261</v>
      </c>
    </row>
    <row r="5" spans="1:7" ht="42" customHeight="1" x14ac:dyDescent="0.3">
      <c r="A5" s="13" t="s">
        <v>262</v>
      </c>
      <c r="B5" s="13" t="s">
        <v>49</v>
      </c>
      <c r="C5" s="13" t="s">
        <v>49</v>
      </c>
      <c r="D5" s="13" t="s">
        <v>49</v>
      </c>
      <c r="E5" s="13" t="s">
        <v>263</v>
      </c>
      <c r="F5" s="13" t="s">
        <v>264</v>
      </c>
      <c r="G5" s="13" t="s">
        <v>265</v>
      </c>
    </row>
    <row r="6" spans="1:7" ht="54" customHeight="1" x14ac:dyDescent="0.3">
      <c r="A6" s="12" t="s">
        <v>266</v>
      </c>
      <c r="B6" s="12" t="s">
        <v>49</v>
      </c>
      <c r="C6" s="12" t="s">
        <v>49</v>
      </c>
      <c r="D6" s="12" t="s">
        <v>49</v>
      </c>
      <c r="E6" s="12" t="s">
        <v>263</v>
      </c>
      <c r="F6" s="12" t="s">
        <v>226</v>
      </c>
      <c r="G6" s="12" t="s">
        <v>267</v>
      </c>
    </row>
    <row r="7" spans="1:7" ht="54" customHeight="1" x14ac:dyDescent="0.3">
      <c r="A7" s="13" t="s">
        <v>268</v>
      </c>
      <c r="B7" s="13" t="s">
        <v>49</v>
      </c>
      <c r="C7" s="13" t="s">
        <v>49</v>
      </c>
      <c r="D7" s="13" t="s">
        <v>49</v>
      </c>
      <c r="E7" s="13" t="s">
        <v>263</v>
      </c>
      <c r="F7" s="13" t="s">
        <v>195</v>
      </c>
      <c r="G7" s="13" t="s">
        <v>269</v>
      </c>
    </row>
    <row r="8" spans="1:7" ht="30" customHeight="1" x14ac:dyDescent="0.3">
      <c r="A8" s="12" t="s">
        <v>270</v>
      </c>
      <c r="B8" s="12" t="s">
        <v>49</v>
      </c>
      <c r="C8" s="12" t="s">
        <v>49</v>
      </c>
      <c r="D8" s="12" t="s">
        <v>49</v>
      </c>
      <c r="E8" s="12" t="s">
        <v>263</v>
      </c>
      <c r="F8" s="12" t="s">
        <v>271</v>
      </c>
      <c r="G8" s="12" t="s">
        <v>272</v>
      </c>
    </row>
    <row r="9" spans="1:7" ht="42" customHeight="1" x14ac:dyDescent="0.3">
      <c r="A9" s="13" t="s">
        <v>273</v>
      </c>
      <c r="B9" s="13" t="s">
        <v>49</v>
      </c>
      <c r="C9" s="13" t="s">
        <v>49</v>
      </c>
      <c r="D9" s="13" t="s">
        <v>49</v>
      </c>
      <c r="E9" s="13" t="s">
        <v>263</v>
      </c>
      <c r="F9" s="13" t="s">
        <v>226</v>
      </c>
      <c r="G9" s="13" t="s">
        <v>274</v>
      </c>
    </row>
    <row r="10" spans="1:7" ht="54" customHeight="1" x14ac:dyDescent="0.3">
      <c r="A10" s="12" t="s">
        <v>275</v>
      </c>
      <c r="B10" s="12" t="s">
        <v>49</v>
      </c>
      <c r="C10" s="12" t="s">
        <v>49</v>
      </c>
      <c r="D10" s="12" t="s">
        <v>49</v>
      </c>
      <c r="E10" s="12" t="s">
        <v>263</v>
      </c>
      <c r="F10" s="12" t="s">
        <v>276</v>
      </c>
      <c r="G10" s="12" t="s">
        <v>277</v>
      </c>
    </row>
    <row r="11" spans="1:7" ht="42" customHeight="1" x14ac:dyDescent="0.3">
      <c r="A11" s="13" t="s">
        <v>278</v>
      </c>
      <c r="B11" s="13" t="s">
        <v>49</v>
      </c>
      <c r="C11" s="13" t="s">
        <v>49</v>
      </c>
      <c r="D11" s="13" t="s">
        <v>49</v>
      </c>
      <c r="E11" s="13" t="s">
        <v>263</v>
      </c>
      <c r="F11" s="13" t="s">
        <v>279</v>
      </c>
      <c r="G11" s="13" t="s">
        <v>280</v>
      </c>
    </row>
    <row r="12" spans="1:7" ht="42" customHeight="1" x14ac:dyDescent="0.3">
      <c r="A12" s="12" t="s">
        <v>281</v>
      </c>
      <c r="B12" s="12" t="s">
        <v>49</v>
      </c>
      <c r="C12" s="12" t="s">
        <v>49</v>
      </c>
      <c r="D12" s="12" t="s">
        <v>49</v>
      </c>
      <c r="E12" s="12" t="s">
        <v>263</v>
      </c>
      <c r="F12" s="12" t="s">
        <v>218</v>
      </c>
      <c r="G12" s="12" t="s">
        <v>282</v>
      </c>
    </row>
    <row r="13" spans="1:7" ht="42" customHeight="1" x14ac:dyDescent="0.3">
      <c r="A13" s="13" t="s">
        <v>283</v>
      </c>
      <c r="B13" s="13" t="s">
        <v>49</v>
      </c>
      <c r="C13" s="13" t="s">
        <v>49</v>
      </c>
      <c r="D13" s="13" t="s">
        <v>49</v>
      </c>
      <c r="E13" s="13" t="s">
        <v>263</v>
      </c>
      <c r="F13" s="13" t="s">
        <v>284</v>
      </c>
      <c r="G13" s="13" t="s">
        <v>285</v>
      </c>
    </row>
    <row r="14" spans="1:7" ht="54" customHeight="1" x14ac:dyDescent="0.3">
      <c r="A14" s="12" t="s">
        <v>286</v>
      </c>
      <c r="B14" s="12" t="s">
        <v>95</v>
      </c>
      <c r="C14" s="12" t="s">
        <v>95</v>
      </c>
      <c r="D14" s="12" t="s">
        <v>49</v>
      </c>
      <c r="E14" s="12" t="s">
        <v>287</v>
      </c>
      <c r="F14" s="12" t="s">
        <v>288</v>
      </c>
      <c r="G14" s="12" t="s">
        <v>289</v>
      </c>
    </row>
    <row r="15" spans="1:7" ht="54" customHeight="1" x14ac:dyDescent="0.3">
      <c r="A15" s="13" t="s">
        <v>290</v>
      </c>
      <c r="B15" s="13" t="s">
        <v>95</v>
      </c>
      <c r="C15" s="13" t="s">
        <v>95</v>
      </c>
      <c r="D15" s="13" t="s">
        <v>95</v>
      </c>
      <c r="E15" s="13" t="s">
        <v>291</v>
      </c>
      <c r="F15" s="13" t="s">
        <v>292</v>
      </c>
      <c r="G15" s="13" t="s">
        <v>293</v>
      </c>
    </row>
    <row r="16" spans="1:7" ht="42" customHeight="1" x14ac:dyDescent="0.3">
      <c r="A16" s="12" t="s">
        <v>294</v>
      </c>
      <c r="B16" s="12" t="s">
        <v>95</v>
      </c>
      <c r="C16" s="12" t="s">
        <v>95</v>
      </c>
      <c r="D16" s="12" t="s">
        <v>49</v>
      </c>
      <c r="E16" s="12" t="s">
        <v>291</v>
      </c>
      <c r="F16" s="12" t="s">
        <v>295</v>
      </c>
      <c r="G16" s="12" t="s">
        <v>296</v>
      </c>
    </row>
    <row r="17" spans="1:7" ht="30" customHeight="1" x14ac:dyDescent="0.3">
      <c r="A17" s="13" t="s">
        <v>297</v>
      </c>
      <c r="B17" s="13" t="s">
        <v>95</v>
      </c>
      <c r="C17" s="13" t="s">
        <v>95</v>
      </c>
      <c r="D17" s="13" t="s">
        <v>49</v>
      </c>
      <c r="E17" s="13" t="s">
        <v>287</v>
      </c>
      <c r="F17" s="13" t="s">
        <v>233</v>
      </c>
      <c r="G17" s="13" t="s">
        <v>298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299</v>
      </c>
      <c r="B1" s="37"/>
      <c r="C1" s="37"/>
      <c r="D1" s="37"/>
      <c r="E1" s="37"/>
      <c r="F1" s="37"/>
    </row>
    <row r="2" spans="1:6" ht="25.5" customHeight="1" x14ac:dyDescent="0.3">
      <c r="A2" s="36" t="s">
        <v>300</v>
      </c>
      <c r="B2" s="37"/>
      <c r="C2" s="37"/>
      <c r="D2" s="37"/>
      <c r="E2" s="37"/>
      <c r="F2" s="37"/>
    </row>
    <row r="4" spans="1:6" ht="30" customHeight="1" x14ac:dyDescent="0.3">
      <c r="A4" s="10" t="s">
        <v>301</v>
      </c>
      <c r="B4" s="10" t="s">
        <v>31</v>
      </c>
      <c r="C4" s="10" t="s">
        <v>302</v>
      </c>
      <c r="D4" s="10" t="s">
        <v>303</v>
      </c>
      <c r="E4" s="10" t="s">
        <v>304</v>
      </c>
      <c r="F4" s="10" t="s">
        <v>305</v>
      </c>
    </row>
    <row r="5" spans="1:6" ht="42" customHeight="1" x14ac:dyDescent="0.3">
      <c r="A5" s="13" t="s">
        <v>306</v>
      </c>
      <c r="B5" s="13" t="s">
        <v>307</v>
      </c>
      <c r="C5" s="13" t="s">
        <v>308</v>
      </c>
      <c r="D5" s="13" t="s">
        <v>309</v>
      </c>
      <c r="E5" s="13" t="s">
        <v>310</v>
      </c>
      <c r="F5" s="13" t="s">
        <v>311</v>
      </c>
    </row>
    <row r="6" spans="1:6" ht="33.75" customHeight="1" x14ac:dyDescent="0.3">
      <c r="A6" s="12" t="s">
        <v>312</v>
      </c>
      <c r="B6" s="12" t="s">
        <v>307</v>
      </c>
      <c r="C6" s="12" t="s">
        <v>313</v>
      </c>
      <c r="D6" s="12" t="s">
        <v>314</v>
      </c>
      <c r="E6" s="12" t="s">
        <v>310</v>
      </c>
      <c r="F6" s="12" t="s">
        <v>245</v>
      </c>
    </row>
    <row r="7" spans="1:6" ht="33.75" customHeight="1" x14ac:dyDescent="0.3">
      <c r="A7" s="13" t="s">
        <v>315</v>
      </c>
      <c r="B7" s="13" t="s">
        <v>307</v>
      </c>
      <c r="C7" s="13" t="s">
        <v>316</v>
      </c>
      <c r="D7" s="13" t="s">
        <v>317</v>
      </c>
      <c r="E7" s="13" t="s">
        <v>310</v>
      </c>
      <c r="F7" s="13" t="s">
        <v>79</v>
      </c>
    </row>
    <row r="8" spans="1:6" ht="33.75" customHeight="1" x14ac:dyDescent="0.3">
      <c r="A8" s="12" t="s">
        <v>318</v>
      </c>
      <c r="B8" s="12" t="s">
        <v>307</v>
      </c>
      <c r="C8" s="12" t="s">
        <v>157</v>
      </c>
      <c r="D8" s="12" t="s">
        <v>288</v>
      </c>
      <c r="E8" s="12" t="s">
        <v>310</v>
      </c>
      <c r="F8" s="12" t="s">
        <v>156</v>
      </c>
    </row>
    <row r="9" spans="1:6" ht="33.75" customHeight="1" x14ac:dyDescent="0.3">
      <c r="A9" s="13" t="s">
        <v>319</v>
      </c>
      <c r="B9" s="13" t="s">
        <v>320</v>
      </c>
      <c r="C9" s="13" t="s">
        <v>321</v>
      </c>
      <c r="D9" s="13" t="s">
        <v>322</v>
      </c>
      <c r="E9" s="13" t="s">
        <v>310</v>
      </c>
      <c r="F9" s="13" t="s">
        <v>55</v>
      </c>
    </row>
    <row r="10" spans="1:6" ht="33.75" customHeight="1" x14ac:dyDescent="0.3">
      <c r="A10" s="12" t="s">
        <v>323</v>
      </c>
      <c r="B10" s="12" t="s">
        <v>320</v>
      </c>
      <c r="C10" s="12" t="s">
        <v>324</v>
      </c>
      <c r="D10" s="12" t="s">
        <v>325</v>
      </c>
      <c r="E10" s="12" t="s">
        <v>310</v>
      </c>
      <c r="F10" s="12" t="s">
        <v>326</v>
      </c>
    </row>
    <row r="11" spans="1:6" ht="42" customHeight="1" x14ac:dyDescent="0.3">
      <c r="A11" s="13" t="s">
        <v>327</v>
      </c>
      <c r="B11" s="13" t="s">
        <v>320</v>
      </c>
      <c r="C11" s="13" t="s">
        <v>328</v>
      </c>
      <c r="D11" s="13" t="s">
        <v>329</v>
      </c>
      <c r="E11" s="13" t="s">
        <v>310</v>
      </c>
      <c r="F11" s="13" t="s">
        <v>84</v>
      </c>
    </row>
    <row r="12" spans="1:6" ht="42" customHeight="1" x14ac:dyDescent="0.3">
      <c r="A12" s="12" t="s">
        <v>330</v>
      </c>
      <c r="B12" s="12" t="s">
        <v>320</v>
      </c>
      <c r="C12" s="12" t="s">
        <v>331</v>
      </c>
      <c r="D12" s="12" t="s">
        <v>332</v>
      </c>
      <c r="E12" s="12" t="s">
        <v>310</v>
      </c>
      <c r="F12" s="12" t="s">
        <v>79</v>
      </c>
    </row>
    <row r="13" spans="1:6" ht="33.75" customHeight="1" x14ac:dyDescent="0.3">
      <c r="A13" s="13" t="s">
        <v>333</v>
      </c>
      <c r="B13" s="13" t="s">
        <v>334</v>
      </c>
      <c r="C13" s="13" t="s">
        <v>335</v>
      </c>
      <c r="D13" s="13" t="s">
        <v>336</v>
      </c>
      <c r="E13" s="13" t="s">
        <v>310</v>
      </c>
      <c r="F13" s="13" t="s">
        <v>337</v>
      </c>
    </row>
    <row r="14" spans="1:6" ht="42" customHeight="1" x14ac:dyDescent="0.3">
      <c r="A14" s="12" t="s">
        <v>338</v>
      </c>
      <c r="B14" s="12" t="s">
        <v>334</v>
      </c>
      <c r="C14" s="12" t="s">
        <v>339</v>
      </c>
      <c r="D14" s="12" t="s">
        <v>340</v>
      </c>
      <c r="E14" s="12" t="s">
        <v>310</v>
      </c>
      <c r="F14" s="12" t="s">
        <v>341</v>
      </c>
    </row>
    <row r="15" spans="1:6" ht="33.75" customHeight="1" x14ac:dyDescent="0.3">
      <c r="A15" s="13" t="s">
        <v>342</v>
      </c>
      <c r="B15" s="13" t="s">
        <v>334</v>
      </c>
      <c r="C15" s="13" t="s">
        <v>343</v>
      </c>
      <c r="D15" s="13" t="s">
        <v>344</v>
      </c>
      <c r="E15" s="13" t="s">
        <v>310</v>
      </c>
      <c r="F15" s="13" t="s">
        <v>345</v>
      </c>
    </row>
    <row r="16" spans="1:6" ht="33.75" customHeight="1" x14ac:dyDescent="0.3">
      <c r="A16" s="12" t="s">
        <v>346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347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348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349</v>
      </c>
      <c r="B19" s="13"/>
      <c r="C19" s="13"/>
      <c r="D19" s="13"/>
      <c r="E19" s="13"/>
      <c r="F19" s="13"/>
    </row>
    <row r="20" spans="1:6" ht="33.75" customHeight="1" x14ac:dyDescent="0.3">
      <c r="A20" s="12" t="s">
        <v>350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351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352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353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354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355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356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357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358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359</v>
      </c>
      <c r="B29" s="13"/>
      <c r="C29" s="13"/>
      <c r="D29" s="13"/>
      <c r="E29" s="13"/>
      <c r="F29" s="13"/>
    </row>
    <row r="30" spans="1:6" ht="33.75" customHeight="1" x14ac:dyDescent="0.3">
      <c r="A30" s="12" t="s">
        <v>360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361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362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363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364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365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366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367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368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369</v>
      </c>
      <c r="B39" s="13"/>
      <c r="C39" s="13"/>
      <c r="D39" s="13"/>
      <c r="E39" s="13"/>
      <c r="F39" s="13"/>
    </row>
    <row r="40" spans="1:6" ht="33.75" customHeight="1" x14ac:dyDescent="0.3">
      <c r="A40" s="12" t="s">
        <v>370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371</v>
      </c>
      <c r="B1" s="37"/>
      <c r="C1" s="37"/>
      <c r="D1" s="37"/>
      <c r="E1" s="37"/>
    </row>
    <row r="2" spans="1:5" ht="25.5" customHeight="1" x14ac:dyDescent="0.3">
      <c r="A2" s="36" t="s">
        <v>372</v>
      </c>
      <c r="B2" s="37"/>
      <c r="C2" s="37"/>
      <c r="D2" s="37"/>
      <c r="E2" s="37"/>
    </row>
    <row r="4" spans="1:5" ht="30" customHeight="1" x14ac:dyDescent="0.3">
      <c r="A4" s="10" t="s">
        <v>373</v>
      </c>
      <c r="B4" s="10" t="s">
        <v>374</v>
      </c>
      <c r="C4" s="10" t="s">
        <v>375</v>
      </c>
      <c r="D4" s="10" t="s">
        <v>376</v>
      </c>
      <c r="E4" s="10" t="s">
        <v>377</v>
      </c>
    </row>
    <row r="5" spans="1:5" ht="66" customHeight="1" x14ac:dyDescent="0.3">
      <c r="A5" s="13" t="s">
        <v>378</v>
      </c>
      <c r="B5" s="13" t="s">
        <v>379</v>
      </c>
      <c r="C5" s="13" t="s">
        <v>380</v>
      </c>
      <c r="D5" s="13" t="s">
        <v>220</v>
      </c>
      <c r="E5" s="13" t="s">
        <v>49</v>
      </c>
    </row>
    <row r="6" spans="1:5" ht="42" customHeight="1" x14ac:dyDescent="0.3">
      <c r="A6" s="12" t="s">
        <v>381</v>
      </c>
      <c r="B6" s="12" t="s">
        <v>382</v>
      </c>
      <c r="C6" s="12" t="s">
        <v>383</v>
      </c>
      <c r="D6" s="12" t="s">
        <v>384</v>
      </c>
      <c r="E6" s="12" t="s">
        <v>49</v>
      </c>
    </row>
    <row r="7" spans="1:5" ht="33.75" customHeight="1" x14ac:dyDescent="0.3">
      <c r="A7" s="13" t="s">
        <v>385</v>
      </c>
      <c r="B7" s="13" t="s">
        <v>386</v>
      </c>
      <c r="C7" s="13" t="s">
        <v>387</v>
      </c>
      <c r="D7" s="13" t="s">
        <v>388</v>
      </c>
      <c r="E7" s="13" t="s">
        <v>95</v>
      </c>
    </row>
    <row r="8" spans="1:5" ht="33.75" customHeight="1" x14ac:dyDescent="0.3">
      <c r="A8" s="12" t="s">
        <v>389</v>
      </c>
      <c r="B8" s="12" t="s">
        <v>390</v>
      </c>
      <c r="C8" s="12" t="s">
        <v>387</v>
      </c>
      <c r="D8" s="12" t="s">
        <v>388</v>
      </c>
      <c r="E8" s="12" t="s">
        <v>95</v>
      </c>
    </row>
    <row r="9" spans="1:5" ht="33.75" customHeight="1" x14ac:dyDescent="0.3">
      <c r="A9" s="13" t="s">
        <v>391</v>
      </c>
      <c r="B9" s="13" t="s">
        <v>392</v>
      </c>
      <c r="C9" s="13" t="s">
        <v>393</v>
      </c>
      <c r="D9" s="13" t="s">
        <v>231</v>
      </c>
      <c r="E9" s="13" t="s">
        <v>95</v>
      </c>
    </row>
    <row r="10" spans="1:5" ht="33.75" customHeight="1" x14ac:dyDescent="0.3">
      <c r="A10" s="12" t="s">
        <v>294</v>
      </c>
      <c r="B10" s="12" t="s">
        <v>394</v>
      </c>
      <c r="C10" s="12" t="s">
        <v>395</v>
      </c>
      <c r="D10" s="12" t="s">
        <v>396</v>
      </c>
      <c r="E10" s="12" t="s">
        <v>95</v>
      </c>
    </row>
    <row r="11" spans="1:5" ht="33.75" customHeight="1" x14ac:dyDescent="0.3">
      <c r="A11" s="13" t="s">
        <v>397</v>
      </c>
      <c r="B11" s="13" t="s">
        <v>398</v>
      </c>
      <c r="C11" s="13" t="s">
        <v>399</v>
      </c>
      <c r="D11" s="13" t="s">
        <v>220</v>
      </c>
      <c r="E11" s="13" t="s">
        <v>49</v>
      </c>
    </row>
    <row r="12" spans="1:5" ht="33.75" customHeight="1" x14ac:dyDescent="0.3">
      <c r="A12" s="12" t="s">
        <v>400</v>
      </c>
      <c r="B12" s="12" t="s">
        <v>401</v>
      </c>
      <c r="C12" s="12" t="s">
        <v>387</v>
      </c>
      <c r="D12" s="12" t="s">
        <v>402</v>
      </c>
      <c r="E12" s="12" t="s">
        <v>49</v>
      </c>
    </row>
    <row r="13" spans="1:5" ht="33.75" customHeight="1" x14ac:dyDescent="0.3">
      <c r="A13" s="13" t="s">
        <v>278</v>
      </c>
      <c r="B13" s="13" t="s">
        <v>403</v>
      </c>
      <c r="C13" s="13" t="s">
        <v>404</v>
      </c>
      <c r="D13" s="13" t="s">
        <v>220</v>
      </c>
      <c r="E13" s="13" t="s">
        <v>95</v>
      </c>
    </row>
    <row r="14" spans="1:5" ht="42" customHeight="1" x14ac:dyDescent="0.3">
      <c r="A14" s="12" t="s">
        <v>405</v>
      </c>
      <c r="B14" s="12" t="s">
        <v>406</v>
      </c>
      <c r="C14" s="12" t="s">
        <v>407</v>
      </c>
      <c r="D14" s="12" t="s">
        <v>408</v>
      </c>
      <c r="E14" s="12" t="s">
        <v>95</v>
      </c>
    </row>
    <row r="15" spans="1:5" ht="33.75" customHeight="1" x14ac:dyDescent="0.3">
      <c r="A15" s="13" t="s">
        <v>409</v>
      </c>
      <c r="B15" s="13" t="s">
        <v>410</v>
      </c>
      <c r="C15" s="13" t="s">
        <v>387</v>
      </c>
      <c r="D15" s="13" t="s">
        <v>408</v>
      </c>
      <c r="E15" s="13" t="s">
        <v>95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413</v>
      </c>
      <c r="B4" s="10" t="s">
        <v>414</v>
      </c>
      <c r="C4" s="10" t="s">
        <v>415</v>
      </c>
      <c r="D4" s="10" t="s">
        <v>416</v>
      </c>
      <c r="E4" s="10" t="s">
        <v>417</v>
      </c>
      <c r="F4" s="10" t="s">
        <v>418</v>
      </c>
      <c r="G4" s="10" t="s">
        <v>419</v>
      </c>
    </row>
    <row r="5" spans="1:7" ht="48" customHeight="1" x14ac:dyDescent="0.3">
      <c r="A5" s="13">
        <v>1</v>
      </c>
      <c r="B5" s="13" t="s">
        <v>420</v>
      </c>
      <c r="C5" s="13" t="s">
        <v>421</v>
      </c>
      <c r="D5" s="13" t="s">
        <v>422</v>
      </c>
      <c r="E5" s="13" t="s">
        <v>423</v>
      </c>
      <c r="F5" s="13" t="s">
        <v>424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425</v>
      </c>
      <c r="C6" s="12" t="s">
        <v>426</v>
      </c>
      <c r="D6" s="12" t="s">
        <v>427</v>
      </c>
      <c r="E6" s="12" t="s">
        <v>428</v>
      </c>
      <c r="F6" s="12" t="s">
        <v>429</v>
      </c>
      <c r="G6" s="12">
        <f>SUMIF($C$32:$C$59,A6,$H$32:$H$59)</f>
        <v>44</v>
      </c>
    </row>
    <row r="7" spans="1:7" ht="66" customHeight="1" x14ac:dyDescent="0.3">
      <c r="A7" s="13">
        <v>3</v>
      </c>
      <c r="B7" s="13" t="s">
        <v>430</v>
      </c>
      <c r="C7" s="13" t="s">
        <v>431</v>
      </c>
      <c r="D7" s="13" t="s">
        <v>432</v>
      </c>
      <c r="E7" s="13" t="s">
        <v>433</v>
      </c>
      <c r="F7" s="13" t="s">
        <v>434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435</v>
      </c>
      <c r="C8" s="12" t="s">
        <v>436</v>
      </c>
      <c r="D8" s="12" t="s">
        <v>437</v>
      </c>
      <c r="E8" s="12" t="s">
        <v>438</v>
      </c>
      <c r="F8" s="12" t="s">
        <v>439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440</v>
      </c>
    </row>
    <row r="16" spans="1:7" ht="21.75" customHeight="1" x14ac:dyDescent="0.3">
      <c r="A16" s="15" t="s">
        <v>441</v>
      </c>
      <c r="B16" s="7">
        <v>1</v>
      </c>
    </row>
    <row r="17" spans="1:8" ht="21.75" customHeight="1" x14ac:dyDescent="0.3">
      <c r="A17" s="15" t="s">
        <v>442</v>
      </c>
      <c r="B17" s="7">
        <v>12</v>
      </c>
    </row>
    <row r="18" spans="1:8" ht="21.75" customHeight="1" x14ac:dyDescent="0.3">
      <c r="A18" s="15" t="s">
        <v>443</v>
      </c>
      <c r="B18" s="7">
        <v>16</v>
      </c>
    </row>
    <row r="19" spans="1:8" ht="21.75" customHeight="1" x14ac:dyDescent="0.3">
      <c r="A19" s="16" t="s">
        <v>444</v>
      </c>
      <c r="B19" s="8">
        <f>IF(COUNT(B16:B18)=3,B16*B17*B18,"")</f>
        <v>192</v>
      </c>
    </row>
    <row r="20" spans="1:8" ht="21.75" customHeight="1" x14ac:dyDescent="0.3">
      <c r="A20" s="15" t="s">
        <v>445</v>
      </c>
      <c r="B20" s="7">
        <v>16</v>
      </c>
      <c r="C20" s="25" t="s">
        <v>446</v>
      </c>
    </row>
    <row r="21" spans="1:8" ht="21.75" customHeight="1" x14ac:dyDescent="0.3">
      <c r="A21" s="16" t="s">
        <v>447</v>
      </c>
      <c r="B21" s="8">
        <f>IF(B19="","",B19-N(B20))</f>
        <v>176</v>
      </c>
    </row>
    <row r="22" spans="1:8" ht="21.75" customHeight="1" x14ac:dyDescent="0.3">
      <c r="A22" s="16" t="s">
        <v>448</v>
      </c>
      <c r="B22" s="8">
        <f>SUM(G5:G12)</f>
        <v>176</v>
      </c>
    </row>
    <row r="23" spans="1:8" ht="21.75" customHeight="1" x14ac:dyDescent="0.3">
      <c r="A23" s="16" t="s">
        <v>449</v>
      </c>
      <c r="B23" s="8">
        <f>IF(B21="","",B21-B22)</f>
        <v>0</v>
      </c>
    </row>
    <row r="25" spans="1:8" ht="15" customHeight="1" x14ac:dyDescent="0.3">
      <c r="A25" s="14" t="s">
        <v>450</v>
      </c>
    </row>
    <row r="26" spans="1:8" ht="61.95" customHeight="1" x14ac:dyDescent="0.3">
      <c r="A26" s="16" t="s">
        <v>451</v>
      </c>
      <c r="B26" s="39" t="s">
        <v>452</v>
      </c>
      <c r="C26" s="40"/>
      <c r="D26" s="40"/>
      <c r="E26" s="40"/>
      <c r="F26" s="41"/>
    </row>
    <row r="27" spans="1:8" ht="61.95" customHeight="1" x14ac:dyDescent="0.3">
      <c r="A27" s="16" t="s">
        <v>453</v>
      </c>
      <c r="B27" s="39" t="s">
        <v>454</v>
      </c>
      <c r="C27" s="40"/>
      <c r="D27" s="40"/>
      <c r="E27" s="40"/>
      <c r="F27" s="41"/>
    </row>
    <row r="28" spans="1:8" ht="25.5" customHeight="1" x14ac:dyDescent="0.3">
      <c r="A28" s="16" t="s">
        <v>455</v>
      </c>
      <c r="B28" s="39" t="s">
        <v>456</v>
      </c>
      <c r="C28" s="40"/>
      <c r="D28" s="40"/>
      <c r="E28" s="40"/>
      <c r="F28" s="41"/>
    </row>
    <row r="30" spans="1:8" x14ac:dyDescent="0.3">
      <c r="A30" s="26" t="s">
        <v>457</v>
      </c>
    </row>
    <row r="31" spans="1:8" ht="30" customHeight="1" x14ac:dyDescent="0.3">
      <c r="A31" s="10" t="s">
        <v>458</v>
      </c>
      <c r="B31" s="10" t="s">
        <v>459</v>
      </c>
      <c r="C31" s="10" t="s">
        <v>413</v>
      </c>
      <c r="D31" s="10" t="s">
        <v>33</v>
      </c>
      <c r="E31" s="10" t="s">
        <v>460</v>
      </c>
      <c r="F31" s="10" t="s">
        <v>461</v>
      </c>
      <c r="G31" s="10" t="s">
        <v>462</v>
      </c>
      <c r="H31" s="10" t="s">
        <v>463</v>
      </c>
    </row>
    <row r="32" spans="1:8" ht="24" customHeight="1" x14ac:dyDescent="0.3">
      <c r="A32" s="13" t="s">
        <v>464</v>
      </c>
      <c r="B32" s="13" t="s">
        <v>465</v>
      </c>
      <c r="C32" s="13">
        <v>1</v>
      </c>
      <c r="D32" s="13" t="s">
        <v>466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467</v>
      </c>
      <c r="B33" s="12" t="s">
        <v>468</v>
      </c>
      <c r="C33" s="12">
        <v>1</v>
      </c>
      <c r="D33" s="12" t="s">
        <v>466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469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470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471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472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473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474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475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114</v>
      </c>
      <c r="B41" s="12" t="s">
        <v>476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127</v>
      </c>
      <c r="B42" s="13" t="s">
        <v>477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139</v>
      </c>
      <c r="B43" s="12" t="s">
        <v>478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479</v>
      </c>
      <c r="B44" s="13" t="s">
        <v>480</v>
      </c>
      <c r="C44" s="13">
        <v>2</v>
      </c>
      <c r="D44" s="13" t="s">
        <v>466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481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482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133</v>
      </c>
      <c r="B47" s="12" t="s">
        <v>483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156</v>
      </c>
      <c r="B48" s="13" t="s">
        <v>484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121</v>
      </c>
      <c r="B49" s="12" t="s">
        <v>485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150</v>
      </c>
      <c r="B50" s="13" t="s">
        <v>486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487</v>
      </c>
      <c r="B51" s="12" t="s">
        <v>488</v>
      </c>
      <c r="C51" s="12">
        <v>3</v>
      </c>
      <c r="D51" s="12" t="s">
        <v>466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489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96</v>
      </c>
      <c r="B53" s="12" t="s">
        <v>490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101</v>
      </c>
      <c r="B54" s="13" t="s">
        <v>491</v>
      </c>
      <c r="C54" s="13">
        <v>4</v>
      </c>
      <c r="D54" s="13" t="s">
        <v>103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145</v>
      </c>
      <c r="B55" s="12" t="s">
        <v>492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161</v>
      </c>
      <c r="B56" s="13" t="s">
        <v>493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494</v>
      </c>
      <c r="B57" s="12" t="s">
        <v>495</v>
      </c>
      <c r="C57" s="12">
        <v>4</v>
      </c>
      <c r="D57" s="12" t="s">
        <v>466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496</v>
      </c>
      <c r="B58" s="13" t="s">
        <v>497</v>
      </c>
      <c r="C58" s="13">
        <v>4</v>
      </c>
      <c r="D58" s="13" t="s">
        <v>466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498</v>
      </c>
      <c r="B59" s="12" t="s">
        <v>499</v>
      </c>
      <c r="C59" s="12">
        <v>4</v>
      </c>
      <c r="D59" s="12" t="s">
        <v>466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500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503</v>
      </c>
      <c r="B4" s="10" t="s">
        <v>504</v>
      </c>
      <c r="C4" s="10" t="s">
        <v>505</v>
      </c>
      <c r="D4" s="10" t="s">
        <v>506</v>
      </c>
      <c r="E4" s="10" t="s">
        <v>507</v>
      </c>
      <c r="F4" s="10" t="s">
        <v>508</v>
      </c>
      <c r="G4" s="10" t="s">
        <v>509</v>
      </c>
    </row>
    <row r="5" spans="1:7" ht="66" customHeight="1" x14ac:dyDescent="0.3">
      <c r="A5" s="13" t="s">
        <v>510</v>
      </c>
      <c r="B5" s="13" t="s">
        <v>511</v>
      </c>
      <c r="C5" s="13">
        <f>Iteraciones!E60</f>
        <v>71</v>
      </c>
      <c r="D5" s="13" t="s">
        <v>512</v>
      </c>
      <c r="E5" s="29">
        <v>21565</v>
      </c>
      <c r="F5" s="30">
        <f t="shared" ref="F5:F34" si="0">IF(OR($C5="",$E5=""),"",$C5*$E5)</f>
        <v>1531115</v>
      </c>
      <c r="G5" s="13" t="s">
        <v>513</v>
      </c>
    </row>
    <row r="6" spans="1:7" ht="33.75" customHeight="1" x14ac:dyDescent="0.3">
      <c r="A6" s="12" t="s">
        <v>510</v>
      </c>
      <c r="B6" s="12" t="s">
        <v>514</v>
      </c>
      <c r="C6" s="12">
        <f>Iteraciones!F60</f>
        <v>42</v>
      </c>
      <c r="D6" s="12" t="s">
        <v>512</v>
      </c>
      <c r="E6" s="31">
        <v>21565</v>
      </c>
      <c r="F6" s="30">
        <f t="shared" si="0"/>
        <v>905730</v>
      </c>
      <c r="G6" s="12" t="s">
        <v>515</v>
      </c>
    </row>
    <row r="7" spans="1:7" ht="33.75" customHeight="1" x14ac:dyDescent="0.3">
      <c r="A7" s="13" t="s">
        <v>510</v>
      </c>
      <c r="B7" s="13" t="s">
        <v>516</v>
      </c>
      <c r="C7" s="13">
        <f>Iteraciones!G60</f>
        <v>63</v>
      </c>
      <c r="D7" s="13" t="s">
        <v>512</v>
      </c>
      <c r="E7" s="29">
        <v>21565</v>
      </c>
      <c r="F7" s="30">
        <f t="shared" si="0"/>
        <v>1358595</v>
      </c>
      <c r="G7" s="13" t="s">
        <v>517</v>
      </c>
    </row>
    <row r="8" spans="1:7" ht="33.75" customHeight="1" x14ac:dyDescent="0.3">
      <c r="A8" s="12" t="s">
        <v>518</v>
      </c>
      <c r="B8" s="12" t="s">
        <v>519</v>
      </c>
      <c r="C8" s="12">
        <v>1</v>
      </c>
      <c r="D8" s="12" t="s">
        <v>520</v>
      </c>
      <c r="E8" s="31">
        <v>0</v>
      </c>
      <c r="F8" s="30">
        <f t="shared" si="0"/>
        <v>0</v>
      </c>
      <c r="G8" s="12" t="s">
        <v>521</v>
      </c>
    </row>
    <row r="9" spans="1:7" ht="33.75" customHeight="1" x14ac:dyDescent="0.3">
      <c r="A9" s="13" t="s">
        <v>518</v>
      </c>
      <c r="B9" s="13" t="s">
        <v>522</v>
      </c>
      <c r="C9" s="13">
        <v>1</v>
      </c>
      <c r="D9" s="13" t="s">
        <v>523</v>
      </c>
      <c r="E9" s="29">
        <v>0</v>
      </c>
      <c r="F9" s="30">
        <f t="shared" si="0"/>
        <v>0</v>
      </c>
      <c r="G9" s="13" t="s">
        <v>524</v>
      </c>
    </row>
    <row r="10" spans="1:7" ht="33.75" customHeight="1" x14ac:dyDescent="0.3">
      <c r="A10" s="12" t="s">
        <v>525</v>
      </c>
      <c r="B10" s="12" t="s">
        <v>526</v>
      </c>
      <c r="C10" s="12">
        <v>1</v>
      </c>
      <c r="D10" s="12" t="s">
        <v>527</v>
      </c>
      <c r="E10" s="31">
        <v>120000</v>
      </c>
      <c r="F10" s="30">
        <f t="shared" si="0"/>
        <v>120000</v>
      </c>
      <c r="G10" s="12" t="s">
        <v>528</v>
      </c>
    </row>
    <row r="11" spans="1:7" ht="33.75" customHeight="1" x14ac:dyDescent="0.3">
      <c r="A11" s="13" t="s">
        <v>525</v>
      </c>
      <c r="B11" s="13" t="s">
        <v>499</v>
      </c>
      <c r="C11" s="13">
        <v>3</v>
      </c>
      <c r="D11" s="13" t="s">
        <v>529</v>
      </c>
      <c r="E11" s="29">
        <v>40000</v>
      </c>
      <c r="F11" s="30">
        <f t="shared" si="0"/>
        <v>120000</v>
      </c>
      <c r="G11" s="13" t="s">
        <v>530</v>
      </c>
    </row>
    <row r="12" spans="1:7" ht="42" customHeight="1" x14ac:dyDescent="0.3">
      <c r="A12" s="12" t="s">
        <v>531</v>
      </c>
      <c r="B12" s="12" t="s">
        <v>532</v>
      </c>
      <c r="C12" s="12">
        <v>12</v>
      </c>
      <c r="D12" s="12" t="s">
        <v>533</v>
      </c>
      <c r="E12" s="31">
        <v>30129</v>
      </c>
      <c r="F12" s="30">
        <f t="shared" si="0"/>
        <v>361548</v>
      </c>
      <c r="G12" s="12" t="s">
        <v>534</v>
      </c>
    </row>
    <row r="13" spans="1:7" ht="33.75" customHeight="1" x14ac:dyDescent="0.3">
      <c r="A13" s="13" t="s">
        <v>531</v>
      </c>
      <c r="B13" s="13" t="s">
        <v>535</v>
      </c>
      <c r="C13" s="13">
        <v>12</v>
      </c>
      <c r="D13" s="13" t="s">
        <v>533</v>
      </c>
      <c r="E13" s="29">
        <v>1540</v>
      </c>
      <c r="F13" s="30">
        <f t="shared" si="0"/>
        <v>18480</v>
      </c>
      <c r="G13" s="13" t="s">
        <v>536</v>
      </c>
    </row>
    <row r="14" spans="1:7" ht="33.75" customHeight="1" x14ac:dyDescent="0.3">
      <c r="A14" s="12" t="s">
        <v>531</v>
      </c>
      <c r="B14" s="12" t="s">
        <v>537</v>
      </c>
      <c r="C14" s="12">
        <v>1</v>
      </c>
      <c r="D14" s="12" t="s">
        <v>538</v>
      </c>
      <c r="E14" s="31">
        <v>9500</v>
      </c>
      <c r="F14" s="30">
        <f t="shared" si="0"/>
        <v>9500</v>
      </c>
      <c r="G14" s="12" t="s">
        <v>539</v>
      </c>
    </row>
    <row r="15" spans="1:7" ht="33.75" customHeight="1" x14ac:dyDescent="0.3">
      <c r="A15" s="13" t="s">
        <v>540</v>
      </c>
      <c r="B15" s="13" t="s">
        <v>541</v>
      </c>
      <c r="C15" s="13">
        <v>12</v>
      </c>
      <c r="D15" s="13" t="s">
        <v>533</v>
      </c>
      <c r="E15" s="29">
        <v>20000</v>
      </c>
      <c r="F15" s="30">
        <f t="shared" si="0"/>
        <v>240000</v>
      </c>
      <c r="G15" s="13" t="s">
        <v>542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543</v>
      </c>
      <c r="F36" s="20">
        <f>SUM(F5:F34)</f>
        <v>4664968</v>
      </c>
    </row>
    <row r="37" spans="1:7" ht="15" customHeight="1" x14ac:dyDescent="0.3">
      <c r="E37" s="5" t="s">
        <v>544</v>
      </c>
      <c r="F37" s="21">
        <f>SUMIF($A$5:$A$34,"Humanos",$C$5:$C$34)</f>
        <v>176</v>
      </c>
    </row>
    <row r="38" spans="1:7" ht="15" customHeight="1" x14ac:dyDescent="0.3">
      <c r="E38" s="5" t="s">
        <v>545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546</v>
      </c>
      <c r="B1" s="37"/>
      <c r="C1" s="37"/>
    </row>
    <row r="2" spans="1:3" ht="25.5" customHeight="1" x14ac:dyDescent="0.3">
      <c r="A2" s="36" t="s">
        <v>547</v>
      </c>
      <c r="B2" s="37"/>
      <c r="C2" s="37"/>
    </row>
    <row r="4" spans="1:3" ht="30" customHeight="1" x14ac:dyDescent="0.3">
      <c r="A4" s="10" t="s">
        <v>548</v>
      </c>
      <c r="B4" s="10" t="s">
        <v>549</v>
      </c>
      <c r="C4" s="10" t="s">
        <v>550</v>
      </c>
    </row>
    <row r="5" spans="1:3" ht="30" customHeight="1" x14ac:dyDescent="0.3">
      <c r="A5" s="22" t="s">
        <v>551</v>
      </c>
      <c r="B5" s="23">
        <f>COUNTIF(Catálogo!$A$5:$A$201,"?*")</f>
        <v>22</v>
      </c>
      <c r="C5" s="24" t="s">
        <v>552</v>
      </c>
    </row>
    <row r="6" spans="1:3" ht="30" customHeight="1" x14ac:dyDescent="0.3">
      <c r="A6" s="22" t="s">
        <v>553</v>
      </c>
      <c r="B6" s="23">
        <f>COUNTIFS(Catálogo!$A$5:$A$201,"?*",Catálogo!$G$5:$G$201,"?*")</f>
        <v>22</v>
      </c>
      <c r="C6" s="24" t="s">
        <v>554</v>
      </c>
    </row>
    <row r="7" spans="1:3" ht="30" customHeight="1" x14ac:dyDescent="0.3">
      <c r="A7" s="22" t="s">
        <v>555</v>
      </c>
      <c r="B7" s="23">
        <f>COUNTIFS(Catálogo!$A$5:$A$201,"?*",Catálogo!$H$5:$H$201,"?*")</f>
        <v>22</v>
      </c>
      <c r="C7" s="24" t="s">
        <v>556</v>
      </c>
    </row>
    <row r="8" spans="1:3" ht="30" customHeight="1" x14ac:dyDescent="0.3">
      <c r="A8" s="22" t="s">
        <v>557</v>
      </c>
      <c r="B8" s="23">
        <f>COUNTIFS(Catálogo!$A$5:$A$201,"?*",Catálogo!$C$5:$C$201,"No funcional")</f>
        <v>9</v>
      </c>
      <c r="C8" s="24" t="s">
        <v>558</v>
      </c>
    </row>
    <row r="9" spans="1:3" ht="30" customHeight="1" x14ac:dyDescent="0.3">
      <c r="A9" s="22" t="s">
        <v>559</v>
      </c>
      <c r="B9" s="23">
        <f>COUNTIFS(Catálogo!$C$5:$C$201,"No funcional",Catálogo!$D$5:$D$201,"")</f>
        <v>0</v>
      </c>
      <c r="C9" s="24" t="s">
        <v>560</v>
      </c>
    </row>
    <row r="10" spans="1:3" ht="30" customHeight="1" x14ac:dyDescent="0.3">
      <c r="A10" s="22" t="s">
        <v>561</v>
      </c>
      <c r="B10" s="23">
        <f>COUNTIFS(Catálogo!$A$5:$A$201,"?*",Catálogo!$E$5:$E$201,"Must")</f>
        <v>15</v>
      </c>
      <c r="C10" s="24" t="s">
        <v>562</v>
      </c>
    </row>
    <row r="11" spans="1:3" ht="30" customHeight="1" x14ac:dyDescent="0.3">
      <c r="A11" s="22" t="s">
        <v>563</v>
      </c>
      <c r="B11" s="23">
        <f>COUNTIFS(Catálogo!$A$5:$A$201,"?*",Catálogo!$K$5:$K$201,"Sí")</f>
        <v>15</v>
      </c>
      <c r="C11" s="24" t="s">
        <v>564</v>
      </c>
    </row>
    <row r="12" spans="1:3" ht="30" customHeight="1" x14ac:dyDescent="0.3">
      <c r="A12" s="22" t="s">
        <v>565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566</v>
      </c>
    </row>
    <row r="13" spans="1:3" ht="30" customHeight="1" x14ac:dyDescent="0.3">
      <c r="A13" s="22" t="s">
        <v>567</v>
      </c>
      <c r="B13" s="23">
        <f>COUNTIFS(Catálogo!$A$5:$A$201,"?*",Catálogo!$I$5:$I$201,"Validado")</f>
        <v>22</v>
      </c>
      <c r="C13" s="24" t="s">
        <v>568</v>
      </c>
    </row>
    <row r="14" spans="1:3" ht="30" customHeight="1" x14ac:dyDescent="0.3">
      <c r="A14" s="22" t="s">
        <v>569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570</v>
      </c>
    </row>
    <row r="15" spans="1:3" ht="30" customHeight="1" x14ac:dyDescent="0.3">
      <c r="A15" s="22" t="s">
        <v>571</v>
      </c>
      <c r="B15" s="23">
        <f>COUNTIF(Trazabilidad!$A$5:$A$61,"?*")</f>
        <v>24</v>
      </c>
      <c r="C15" s="24" t="s">
        <v>572</v>
      </c>
    </row>
    <row r="16" spans="1:3" ht="30" customHeight="1" x14ac:dyDescent="0.3">
      <c r="A16" s="22" t="s">
        <v>573</v>
      </c>
      <c r="B16" s="23">
        <f>COUNTIF(Trazabilidad!$F$5:$F$61,"Hallazgo sin destino")</f>
        <v>0</v>
      </c>
      <c r="C16" s="24" t="s">
        <v>574</v>
      </c>
    </row>
    <row r="17" spans="1:3" ht="30" customHeight="1" x14ac:dyDescent="0.3">
      <c r="A17" s="22" t="s">
        <v>575</v>
      </c>
      <c r="B17" s="23">
        <f>COUNTIF(Entidades!$E$5:$E$45,"Entidad")</f>
        <v>9</v>
      </c>
      <c r="C17" s="24" t="s">
        <v>576</v>
      </c>
    </row>
    <row r="18" spans="1:3" ht="30" customHeight="1" x14ac:dyDescent="0.3">
      <c r="A18" s="22" t="s">
        <v>577</v>
      </c>
      <c r="B18" s="23">
        <f>COUNTIF(Entidades!$A$5:$A$45,"?*")-COUNTIF(Entidades!$E$5:$E$45,"Entidad")</f>
        <v>4</v>
      </c>
      <c r="C18" s="24" t="s">
        <v>578</v>
      </c>
    </row>
    <row r="19" spans="1:3" ht="30" customHeight="1" x14ac:dyDescent="0.3">
      <c r="A19" s="22" t="s">
        <v>579</v>
      </c>
      <c r="B19" s="23">
        <f>COUNTIF(Reglas!$C$5:$C$40,"?*")</f>
        <v>11</v>
      </c>
      <c r="C19" s="24" t="s">
        <v>580</v>
      </c>
    </row>
    <row r="20" spans="1:3" ht="30" customHeight="1" x14ac:dyDescent="0.3">
      <c r="A20" s="22" t="s">
        <v>581</v>
      </c>
      <c r="B20" s="23">
        <f>COUNTIF(Reglas!$E$5:$E$40,"Pendiente")+COUNTIF(Reglas!$E$5:$E$40,"En disputa")</f>
        <v>0</v>
      </c>
      <c r="C20" s="24" t="s">
        <v>582</v>
      </c>
    </row>
    <row r="21" spans="1:3" ht="30" customHeight="1" x14ac:dyDescent="0.3">
      <c r="A21" s="22" t="s">
        <v>583</v>
      </c>
      <c r="B21" s="23">
        <f>COUNTIF(Glosario!$E$5:$E$45,"Sí")</f>
        <v>4</v>
      </c>
      <c r="C21" s="24" t="s">
        <v>584</v>
      </c>
    </row>
    <row r="22" spans="1:3" ht="30" customHeight="1" x14ac:dyDescent="0.3">
      <c r="A22" s="22" t="s">
        <v>585</v>
      </c>
      <c r="B22" s="23">
        <f>SUM(Iteraciones!$G$5:$G$12)</f>
        <v>176</v>
      </c>
      <c r="C22" s="24" t="s">
        <v>586</v>
      </c>
    </row>
    <row r="23" spans="1:3" ht="30" customHeight="1" x14ac:dyDescent="0.3">
      <c r="A23" s="22" t="s">
        <v>587</v>
      </c>
      <c r="B23" s="23" t="str">
        <f>Recursos!$F$38</f>
        <v>Coherente</v>
      </c>
      <c r="C23" s="24" t="s">
        <v>588</v>
      </c>
    </row>
    <row r="25" spans="1:3" ht="15" customHeight="1" x14ac:dyDescent="0.3">
      <c r="A25" s="14" t="s">
        <v>589</v>
      </c>
    </row>
    <row r="26" spans="1:3" ht="15" customHeight="1" x14ac:dyDescent="0.3">
      <c r="A26" s="42" t="s">
        <v>590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591</v>
      </c>
    </row>
    <row r="2" spans="1:4" x14ac:dyDescent="0.3">
      <c r="A2" s="33" t="s">
        <v>592</v>
      </c>
    </row>
    <row r="4" spans="1:4" x14ac:dyDescent="0.3">
      <c r="A4" s="10" t="s">
        <v>593</v>
      </c>
      <c r="B4" s="10" t="s">
        <v>594</v>
      </c>
      <c r="C4" s="10" t="s">
        <v>595</v>
      </c>
      <c r="D4" s="10" t="s">
        <v>596</v>
      </c>
    </row>
    <row r="5" spans="1:4" ht="30" customHeight="1" x14ac:dyDescent="0.3">
      <c r="A5" s="34" t="s">
        <v>173</v>
      </c>
      <c r="B5" s="34" t="s">
        <v>597</v>
      </c>
      <c r="C5" s="34" t="s">
        <v>598</v>
      </c>
      <c r="D5" s="34" t="s">
        <v>599</v>
      </c>
    </row>
    <row r="6" spans="1:4" ht="30" customHeight="1" x14ac:dyDescent="0.3">
      <c r="A6" s="34" t="s">
        <v>176</v>
      </c>
      <c r="B6" s="34" t="s">
        <v>600</v>
      </c>
      <c r="C6" s="34" t="s">
        <v>601</v>
      </c>
      <c r="D6" s="34" t="s">
        <v>602</v>
      </c>
    </row>
    <row r="7" spans="1:4" ht="30" customHeight="1" x14ac:dyDescent="0.3">
      <c r="A7" s="34" t="s">
        <v>180</v>
      </c>
      <c r="B7" s="34" t="s">
        <v>603</v>
      </c>
      <c r="C7" s="34" t="s">
        <v>604</v>
      </c>
      <c r="D7" s="34" t="s">
        <v>605</v>
      </c>
    </row>
    <row r="8" spans="1:4" ht="30" customHeight="1" x14ac:dyDescent="0.3">
      <c r="A8" s="34" t="s">
        <v>184</v>
      </c>
      <c r="B8" s="34" t="s">
        <v>606</v>
      </c>
      <c r="C8" s="34" t="s">
        <v>607</v>
      </c>
      <c r="D8" s="34" t="s">
        <v>608</v>
      </c>
    </row>
    <row r="9" spans="1:4" ht="30" customHeight="1" x14ac:dyDescent="0.3">
      <c r="A9" s="34" t="s">
        <v>188</v>
      </c>
      <c r="B9" s="34" t="s">
        <v>609</v>
      </c>
      <c r="C9" s="35" t="s">
        <v>610</v>
      </c>
      <c r="D9" s="34" t="s">
        <v>611</v>
      </c>
    </row>
    <row r="10" spans="1:4" ht="30" customHeight="1" x14ac:dyDescent="0.3">
      <c r="A10" s="34" t="s">
        <v>191</v>
      </c>
      <c r="B10" s="34" t="s">
        <v>612</v>
      </c>
      <c r="C10" s="35" t="s">
        <v>610</v>
      </c>
      <c r="D10" s="34" t="s">
        <v>613</v>
      </c>
    </row>
    <row r="11" spans="1:4" ht="30" customHeight="1" x14ac:dyDescent="0.3">
      <c r="A11" s="34" t="s">
        <v>195</v>
      </c>
      <c r="B11" s="34" t="s">
        <v>614</v>
      </c>
      <c r="C11" s="34" t="s">
        <v>615</v>
      </c>
      <c r="D11" s="34" t="s">
        <v>616</v>
      </c>
    </row>
    <row r="12" spans="1:4" ht="30" customHeight="1" x14ac:dyDescent="0.3">
      <c r="A12" s="34" t="s">
        <v>199</v>
      </c>
      <c r="B12" s="34" t="s">
        <v>617</v>
      </c>
      <c r="C12" s="34" t="s">
        <v>618</v>
      </c>
      <c r="D12" s="34" t="s">
        <v>619</v>
      </c>
    </row>
    <row r="13" spans="1:4" ht="30" customHeight="1" x14ac:dyDescent="0.3">
      <c r="A13" s="34" t="s">
        <v>203</v>
      </c>
      <c r="B13" s="34" t="s">
        <v>620</v>
      </c>
      <c r="C13" s="34" t="s">
        <v>180</v>
      </c>
      <c r="D13" s="34" t="s">
        <v>621</v>
      </c>
    </row>
    <row r="14" spans="1:4" ht="30" customHeight="1" x14ac:dyDescent="0.3">
      <c r="A14" s="34" t="s">
        <v>207</v>
      </c>
      <c r="B14" s="34" t="s">
        <v>622</v>
      </c>
      <c r="C14" s="35" t="s">
        <v>610</v>
      </c>
      <c r="D14" s="34" t="s">
        <v>623</v>
      </c>
    </row>
    <row r="15" spans="1:4" ht="30" customHeight="1" x14ac:dyDescent="0.3">
      <c r="A15" s="34" t="s">
        <v>211</v>
      </c>
      <c r="B15" s="34" t="s">
        <v>624</v>
      </c>
      <c r="C15" s="34" t="s">
        <v>625</v>
      </c>
      <c r="D15" s="34" t="s">
        <v>626</v>
      </c>
    </row>
    <row r="16" spans="1:4" ht="30" customHeight="1" x14ac:dyDescent="0.3">
      <c r="A16" s="34" t="s">
        <v>214</v>
      </c>
      <c r="B16" s="34" t="s">
        <v>627</v>
      </c>
      <c r="C16" s="34" t="s">
        <v>628</v>
      </c>
      <c r="D16" s="34" t="s">
        <v>629</v>
      </c>
    </row>
    <row r="17" spans="1:4" ht="30" customHeight="1" x14ac:dyDescent="0.3">
      <c r="A17" s="34" t="s">
        <v>218</v>
      </c>
      <c r="B17" s="34" t="s">
        <v>630</v>
      </c>
      <c r="C17" s="34" t="s">
        <v>631</v>
      </c>
      <c r="D17" s="34"/>
    </row>
    <row r="18" spans="1:4" ht="30" customHeight="1" x14ac:dyDescent="0.3">
      <c r="A18" s="34" t="s">
        <v>221</v>
      </c>
      <c r="B18" s="34" t="s">
        <v>632</v>
      </c>
      <c r="C18" s="35" t="s">
        <v>610</v>
      </c>
      <c r="D18" s="34" t="s">
        <v>633</v>
      </c>
    </row>
    <row r="19" spans="1:4" ht="30" customHeight="1" x14ac:dyDescent="0.3">
      <c r="A19" s="34" t="s">
        <v>223</v>
      </c>
      <c r="B19" s="34" t="s">
        <v>634</v>
      </c>
      <c r="C19" s="35" t="s">
        <v>610</v>
      </c>
      <c r="D19" s="34" t="s">
        <v>635</v>
      </c>
    </row>
    <row r="20" spans="1:4" ht="30" customHeight="1" x14ac:dyDescent="0.3">
      <c r="A20" s="34" t="s">
        <v>226</v>
      </c>
      <c r="B20" s="34" t="s">
        <v>636</v>
      </c>
      <c r="C20" s="34" t="s">
        <v>203</v>
      </c>
      <c r="D20" s="34"/>
    </row>
    <row r="21" spans="1:4" ht="30" customHeight="1" x14ac:dyDescent="0.3">
      <c r="A21" s="34" t="s">
        <v>229</v>
      </c>
      <c r="B21" s="34" t="s">
        <v>637</v>
      </c>
      <c r="C21" s="35" t="s">
        <v>610</v>
      </c>
      <c r="D21" s="34" t="s">
        <v>638</v>
      </c>
    </row>
    <row r="22" spans="1:4" ht="30" customHeight="1" x14ac:dyDescent="0.3">
      <c r="A22" s="34" t="s">
        <v>639</v>
      </c>
      <c r="B22" s="34" t="s">
        <v>640</v>
      </c>
      <c r="C22" s="35" t="s">
        <v>610</v>
      </c>
      <c r="D22" s="34" t="s">
        <v>641</v>
      </c>
    </row>
    <row r="23" spans="1:4" ht="30" customHeight="1" x14ac:dyDescent="0.3">
      <c r="A23" s="34" t="s">
        <v>642</v>
      </c>
      <c r="B23" s="34" t="s">
        <v>643</v>
      </c>
      <c r="C23" s="35" t="s">
        <v>610</v>
      </c>
      <c r="D23" s="34" t="s">
        <v>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2026-10-08T00:24:07Z</dcterms:modified>
  <dc:language>en-US</dc:language>
</cp:coreProperties>
</file>